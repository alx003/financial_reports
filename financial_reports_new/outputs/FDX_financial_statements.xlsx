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#,##0;(#,##0);&quot;-&quot;"/>
    <numFmt numFmtId="166" formatCode="$#,##0.00;($#,##0.00);&quot;-&quot;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 Narrow"/>
      <b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0" fillId="3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7" fillId="0" borderId="1" pivotButton="0" quotePrefix="0" xfId="0"/>
    <xf numFmtId="165" fontId="7" fillId="0" borderId="1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FedEx Corporation (FDX)</t>
        </is>
      </c>
    </row>
    <row r="2">
      <c r="A2" s="2" t="inlineStr">
        <is>
          <t>STANDARD FINANCIAL STATEMENTS</t>
        </is>
      </c>
    </row>
    <row r="3">
      <c r="A3" s="3" t="inlineStr">
        <is>
          <t>Units: USD, as reported  |  Source: SEC EDGAR XBRL (us-gaap), standard filings only</t>
        </is>
      </c>
    </row>
    <row r="5">
      <c r="A5" s="2" t="inlineStr">
        <is>
          <t>DASHBOARD</t>
        </is>
      </c>
    </row>
    <row r="6">
      <c r="A6" s="4" t="inlineStr">
        <is>
          <t>Trend analysis of last 16 quarters. Columns to the right of the latest reported quarter are intentionally left blank for future updates.</t>
        </is>
      </c>
    </row>
    <row r="8">
      <c r="A8" s="5" t="n"/>
      <c r="B8" s="6" t="inlineStr">
        <is>
          <t>Q1 2022</t>
        </is>
      </c>
      <c r="C8" s="6" t="inlineStr">
        <is>
          <t>Q2 2022</t>
        </is>
      </c>
      <c r="D8" s="6" t="inlineStr">
        <is>
          <t>Q3 2022</t>
        </is>
      </c>
      <c r="E8" s="6" t="inlineStr">
        <is>
          <t>Q4 2022</t>
        </is>
      </c>
      <c r="F8" s="6" t="inlineStr">
        <is>
          <t>Q1 2023</t>
        </is>
      </c>
      <c r="G8" s="6" t="inlineStr">
        <is>
          <t>Q2 2023</t>
        </is>
      </c>
      <c r="H8" s="6" t="inlineStr">
        <is>
          <t>Q3 2023</t>
        </is>
      </c>
      <c r="I8" s="6" t="inlineStr">
        <is>
          <t>Q4 2023</t>
        </is>
      </c>
      <c r="J8" s="6" t="inlineStr">
        <is>
          <t>Q1 2024</t>
        </is>
      </c>
      <c r="K8" s="6" t="inlineStr">
        <is>
          <t>Q2 2024</t>
        </is>
      </c>
      <c r="L8" s="6" t="inlineStr">
        <is>
          <t>Q3 2024</t>
        </is>
      </c>
      <c r="M8" s="6" t="inlineStr">
        <is>
          <t>Q4 2024</t>
        </is>
      </c>
      <c r="N8" s="6" t="inlineStr">
        <is>
          <t>Q1 2025</t>
        </is>
      </c>
      <c r="O8" s="6" t="inlineStr">
        <is>
          <t>Q2 2025</t>
        </is>
      </c>
      <c r="P8" s="6" t="inlineStr">
        <is>
          <t>Q3 2025</t>
        </is>
      </c>
      <c r="Q8" s="6" t="inlineStr">
        <is>
          <t>Q4 2025</t>
        </is>
      </c>
      <c r="R8" s="5" t="n"/>
      <c r="S8" s="5" t="n"/>
      <c r="T8" s="5" t="n"/>
      <c r="U8" s="5" t="n"/>
      <c r="W8" s="6" t="inlineStr">
        <is>
          <t>L10</t>
        </is>
      </c>
      <c r="X8" s="6" t="inlineStr">
        <is>
          <t>L5</t>
        </is>
      </c>
      <c r="Y8" s="6" t="inlineStr">
        <is>
          <t>L3</t>
        </is>
      </c>
    </row>
    <row r="9">
      <c r="A9" s="7" t="inlineStr">
        <is>
          <t>Sales Analysis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3" t="inlineStr">
        <is>
          <t>Revenue Δ, y/y</t>
        </is>
      </c>
      <c r="F10" s="9" t="n">
        <v>0.01264916467780419</v>
      </c>
      <c r="G10" s="9" t="n">
        <v>0.009029770023044836</v>
      </c>
      <c r="H10" s="9" t="n">
        <v>0.01284905835420735</v>
      </c>
      <c r="I10" s="9" t="n">
        <v>0.00936768149882905</v>
      </c>
      <c r="J10" s="9" t="n">
        <v>0.009851520150836679</v>
      </c>
      <c r="K10" s="9" t="n">
        <v>0.009834537403868637</v>
      </c>
      <c r="L10" s="9" t="n">
        <v>0.00861002976871994</v>
      </c>
      <c r="M10" s="9" t="n">
        <v>0.009280742459396807</v>
      </c>
      <c r="N10" s="9" t="n">
        <v>0.009895444361463834</v>
      </c>
      <c r="O10" s="9" t="n">
        <v>0.008769500600018354</v>
      </c>
      <c r="P10" s="9" t="n">
        <v>0.01008037052172739</v>
      </c>
      <c r="Q10" s="9" t="n">
        <v>0.009195402298850519</v>
      </c>
      <c r="W10" s="9">
        <f>IFERROR(AVERAGE(H10:Q10),"")</f>
        <v/>
      </c>
      <c r="X10" s="9">
        <f>IFERROR(AVERAGE(M10:Q10),"")</f>
        <v/>
      </c>
      <c r="Y10" s="9">
        <f>IFERROR(AVERAGE(O10:Q10),"")</f>
        <v/>
      </c>
    </row>
    <row r="12">
      <c r="A12" s="7" t="inlineStr">
        <is>
          <t>Income Statement Analysis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3" t="inlineStr">
        <is>
          <t>Operating margin</t>
        </is>
      </c>
      <c r="B13" s="9" t="n">
        <v>0.1919809069212411</v>
      </c>
      <c r="C13" s="9" t="n">
        <v>0.1896251704839392</v>
      </c>
      <c r="D13" s="9" t="n">
        <v>0.1874942016884683</v>
      </c>
      <c r="E13" s="9" t="n">
        <v>0.09531615925058548</v>
      </c>
      <c r="F13" s="9" t="n">
        <v>0.1901013433891115</v>
      </c>
      <c r="G13" s="9" t="n">
        <v>0.1884409228618038</v>
      </c>
      <c r="H13" s="9" t="n">
        <v>0.1856194183650103</v>
      </c>
      <c r="I13" s="9" t="n">
        <v>0.09489559164733179</v>
      </c>
      <c r="J13" s="9" t="n">
        <v>0.1887602688573562</v>
      </c>
      <c r="K13" s="9" t="n">
        <v>0.1871134496446044</v>
      </c>
      <c r="L13" s="9" t="n">
        <v>0.1845343504518004</v>
      </c>
      <c r="M13" s="9" t="n">
        <v>0.09448275862068965</v>
      </c>
      <c r="N13" s="9" t="n">
        <v>0.1874191162876687</v>
      </c>
      <c r="O13" s="9" t="n">
        <v>0.1859901171303075</v>
      </c>
      <c r="P13" s="9" t="n">
        <v>0.1831872330860868</v>
      </c>
      <c r="Q13" s="9" t="n">
        <v>0.09407744874715263</v>
      </c>
      <c r="W13" s="9">
        <f>IFERROR(AVERAGE(H13:Q13),"")</f>
        <v/>
      </c>
      <c r="X13" s="9">
        <f>IFERROR(AVERAGE(M13:Q13),"")</f>
        <v/>
      </c>
      <c r="Y13" s="9">
        <f>IFERROR(AVERAGE(O13:Q13),"")</f>
        <v/>
      </c>
    </row>
    <row r="14">
      <c r="A14" s="3" t="inlineStr">
        <is>
          <t>Net margin</t>
        </is>
      </c>
      <c r="B14" s="9" t="n">
        <v>0.03894988066825775</v>
      </c>
      <c r="C14" s="9" t="n">
        <v>0.04006960447726097</v>
      </c>
      <c r="D14" s="9" t="n">
        <v>0.04095927265980147</v>
      </c>
      <c r="E14" s="9" t="n">
        <v>0.04121779859484778</v>
      </c>
      <c r="F14" s="9" t="n">
        <v>0.03992458166391704</v>
      </c>
      <c r="G14" s="9" t="n">
        <v>0.0413889536238639</v>
      </c>
      <c r="H14" s="9" t="n">
        <v>0.04208839019922143</v>
      </c>
      <c r="I14" s="9" t="n">
        <v>0.04222737819025522</v>
      </c>
      <c r="J14" s="9" t="n">
        <v>0.04009522031366691</v>
      </c>
      <c r="K14" s="9" t="n">
        <v>0.04158589495061386</v>
      </c>
      <c r="L14" s="9" t="n">
        <v>0.04290968532897425</v>
      </c>
      <c r="M14" s="9" t="n">
        <v>0.0432183908045977</v>
      </c>
      <c r="N14" s="9" t="n">
        <v>0.04132002218524681</v>
      </c>
      <c r="O14" s="9" t="n">
        <v>0.04218521229868229</v>
      </c>
      <c r="P14" s="9" t="n">
        <v>0.0451337379186334</v>
      </c>
      <c r="Q14" s="9" t="n">
        <v>0.04419134396355353</v>
      </c>
      <c r="W14" s="9">
        <f>IFERROR(AVERAGE(H14:Q14),"")</f>
        <v/>
      </c>
      <c r="X14" s="9">
        <f>IFERROR(AVERAGE(M14:Q14),"")</f>
        <v/>
      </c>
      <c r="Y14" s="9">
        <f>IFERROR(AVERAGE(O14:Q14),"")</f>
        <v/>
      </c>
    </row>
    <row r="15">
      <c r="A15" s="3" t="inlineStr">
        <is>
          <t>SG&amp;A / revenue</t>
        </is>
      </c>
      <c r="B15" s="9" t="n">
        <v>0.1681145584725537</v>
      </c>
      <c r="C15" s="9" t="n">
        <v>0.1658749941212435</v>
      </c>
      <c r="D15" s="9" t="n">
        <v>0.1638370906392059</v>
      </c>
      <c r="E15" s="9" t="n">
        <v>0.07107728337236534</v>
      </c>
      <c r="F15" s="9" t="n">
        <v>0.1662974310629272</v>
      </c>
      <c r="G15" s="9" t="n">
        <v>0.1646702400372873</v>
      </c>
      <c r="H15" s="9" t="n">
        <v>0.1620334325623998</v>
      </c>
      <c r="I15" s="9" t="n">
        <v>0.07064965197215778</v>
      </c>
      <c r="J15" s="9" t="n">
        <v>0.1649551904406273</v>
      </c>
      <c r="K15" s="9" t="n">
        <v>0.1633434874919228</v>
      </c>
      <c r="L15" s="9" t="n">
        <v>0.160922671752259</v>
      </c>
      <c r="M15" s="9" t="n">
        <v>0.07022988505747127</v>
      </c>
      <c r="N15" s="9" t="n">
        <v>0.1636161952301719</v>
      </c>
      <c r="O15" s="9" t="n">
        <v>0.1621980234260615</v>
      </c>
      <c r="P15" s="9" t="n">
        <v>0.1595864239154866</v>
      </c>
      <c r="Q15" s="9" t="n">
        <v>0.06981776765375854</v>
      </c>
      <c r="W15" s="9">
        <f>IFERROR(AVERAGE(H15:Q15),"")</f>
        <v/>
      </c>
      <c r="X15" s="9">
        <f>IFERROR(AVERAGE(M15:Q15),"")</f>
        <v/>
      </c>
      <c r="Y15" s="9">
        <f>IFERROR(AVERAGE(O15:Q15),"")</f>
        <v/>
      </c>
    </row>
    <row r="17">
      <c r="A17" s="7" t="inlineStr">
        <is>
          <t>Earnings Quality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3" t="inlineStr">
        <is>
          <t>Adj. EPS Δ, y/y</t>
        </is>
      </c>
      <c r="F18" s="9" t="n">
        <v>0.226027397260274</v>
      </c>
      <c r="G18" s="9" t="n">
        <v>0.1554878048780488</v>
      </c>
      <c r="H18" s="9" t="n">
        <v>0.1311475409836065</v>
      </c>
      <c r="I18" s="9" t="n">
        <v>0.1470588235294117</v>
      </c>
      <c r="J18" s="9" t="n">
        <v>0.1256983240223464</v>
      </c>
      <c r="K18" s="9" t="n">
        <v>0.1424802110817942</v>
      </c>
      <c r="L18" s="9" t="n">
        <v>0.1038647342995171</v>
      </c>
      <c r="M18" s="9" t="n">
        <v>0.1282051282051277</v>
      </c>
      <c r="N18" s="9" t="n">
        <v>0.1066997518610422</v>
      </c>
      <c r="O18" s="9" t="n">
        <v>0.09699769053117779</v>
      </c>
      <c r="P18" s="9" t="n">
        <v>0.1072210065645514</v>
      </c>
      <c r="Q18" s="9" t="n">
        <v>0.1136363636363644</v>
      </c>
      <c r="W18" s="9">
        <f>IFERROR(AVERAGE(H18:Q18),"")</f>
        <v/>
      </c>
      <c r="X18" s="9">
        <f>IFERROR(AVERAGE(M18:Q18),"")</f>
        <v/>
      </c>
      <c r="Y18" s="9">
        <f>IFERROR(AVERAGE(O18:Q18),"")</f>
        <v/>
      </c>
    </row>
    <row r="19">
      <c r="A19" s="3" t="inlineStr">
        <is>
          <t>FCF / % Net Income</t>
        </is>
      </c>
      <c r="B19" s="9" t="n">
        <v>1.593137254901961</v>
      </c>
      <c r="C19" s="9" t="n">
        <v>1.530516431924883</v>
      </c>
      <c r="D19" s="9" t="n">
        <v>1.481313703284258</v>
      </c>
      <c r="E19" s="9" t="n">
        <v>1.493181818181818</v>
      </c>
      <c r="F19" s="9" t="n">
        <v>1.539551357733176</v>
      </c>
      <c r="G19" s="9" t="n">
        <v>1.472972972972973</v>
      </c>
      <c r="H19" s="9" t="n">
        <v>1.427638737758433</v>
      </c>
      <c r="I19" s="9" t="n">
        <v>1.448351648351648</v>
      </c>
      <c r="J19" s="9" t="n">
        <v>1.522700814901048</v>
      </c>
      <c r="K19" s="9" t="n">
        <v>1.456159822419534</v>
      </c>
      <c r="L19" s="9" t="n">
        <v>1.392592592592593</v>
      </c>
      <c r="M19" s="9" t="n">
        <v>1.406382978723404</v>
      </c>
      <c r="N19" s="9" t="n">
        <v>1.467561521252796</v>
      </c>
      <c r="O19" s="9" t="n">
        <v>1.427331887201735</v>
      </c>
      <c r="P19" s="9" t="n">
        <v>1.314741035856574</v>
      </c>
      <c r="Q19" s="9" t="n">
        <v>1.367010309278351</v>
      </c>
      <c r="W19" s="9">
        <f>IFERROR(AVERAGE(H19:Q19),"")</f>
        <v/>
      </c>
      <c r="X19" s="9">
        <f>IFERROR(AVERAGE(M19:Q19),"")</f>
        <v/>
      </c>
      <c r="Y19" s="9">
        <f>IFERROR(AVERAGE(O19:Q19),"")</f>
        <v/>
      </c>
    </row>
    <row r="21">
      <c r="A21" s="7" t="inlineStr">
        <is>
          <t>Financial Strength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3" t="inlineStr">
        <is>
          <t>Current ratio</t>
        </is>
      </c>
      <c r="B22" s="10" t="n">
        <v>1.333333333333333</v>
      </c>
      <c r="C22" s="10" t="n">
        <v>1.333311112592494</v>
      </c>
      <c r="D22" s="10" t="n">
        <v>1.333288894814025</v>
      </c>
      <c r="F22" s="10" t="n">
        <v>1.33103813559322</v>
      </c>
      <c r="G22" s="10" t="n">
        <v>1.33101621979477</v>
      </c>
      <c r="H22" s="10" t="n">
        <v>1.330994306897921</v>
      </c>
      <c r="J22" s="10" t="n">
        <v>1.328774329300368</v>
      </c>
      <c r="K22" s="10" t="n">
        <v>1.328752712209876</v>
      </c>
      <c r="L22" s="10" t="n">
        <v>1.328731097961867</v>
      </c>
      <c r="N22" s="10" t="n">
        <v>1.326541274817137</v>
      </c>
      <c r="O22" s="10" t="n">
        <v>1.326519950368968</v>
      </c>
      <c r="P22" s="10" t="n">
        <v>1.326498628705759</v>
      </c>
      <c r="W22" s="10">
        <f>IFERROR(AVERAGE(G22:P22),"")</f>
        <v/>
      </c>
      <c r="X22" s="10">
        <f>IFERROR(AVERAGE(L22:P22),"")</f>
        <v/>
      </c>
      <c r="Y22" s="10">
        <f>IFERROR(AVERAGE(N22:P22),"")</f>
        <v/>
      </c>
    </row>
    <row r="23">
      <c r="A23" s="3" t="inlineStr">
        <is>
          <t>Net debt / total assets</t>
        </is>
      </c>
    </row>
    <row r="25">
      <c r="A25" s="7" t="inlineStr">
        <is>
          <t>Cash Generation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3" t="inlineStr">
        <is>
          <t>OCF / revenue</t>
        </is>
      </c>
      <c r="B26" s="9" t="n">
        <v>0.2158472553699284</v>
      </c>
      <c r="C26" s="9" t="n">
        <v>0.2132342566900249</v>
      </c>
      <c r="D26" s="9" t="n">
        <v>0.21087299378421</v>
      </c>
      <c r="E26" s="9" t="n">
        <v>0.1190632318501171</v>
      </c>
      <c r="F26" s="9" t="n">
        <v>0.2137638463351402</v>
      </c>
      <c r="G26" s="9" t="n">
        <v>0.2119319505942671</v>
      </c>
      <c r="H26" s="9" t="n">
        <v>0.2087932218914587</v>
      </c>
      <c r="I26" s="9" t="n">
        <v>0.1185150812064965</v>
      </c>
      <c r="J26" s="9" t="n">
        <v>0.212285287528006</v>
      </c>
      <c r="K26" s="9" t="n">
        <v>0.2104680144004431</v>
      </c>
      <c r="L26" s="9" t="n">
        <v>0.2076011442582754</v>
      </c>
      <c r="M26" s="9" t="n">
        <v>0.1179770114942529</v>
      </c>
      <c r="N26" s="9" t="n">
        <v>0.2108060639674616</v>
      </c>
      <c r="O26" s="9" t="n">
        <v>0.2092331625183016</v>
      </c>
      <c r="P26" s="9" t="n">
        <v>0.2061137334232412</v>
      </c>
      <c r="Q26" s="9" t="n">
        <v>0.1174487471526196</v>
      </c>
      <c r="W26" s="9">
        <f>IFERROR(AVERAGE(H26:Q26),"")</f>
        <v/>
      </c>
      <c r="X26" s="9">
        <f>IFERROR(AVERAGE(M26:Q26),"")</f>
        <v/>
      </c>
      <c r="Y26" s="9">
        <f>IFERROR(AVERAGE(O26:Q26),"")</f>
        <v/>
      </c>
    </row>
    <row r="27">
      <c r="A27" s="3" t="inlineStr">
        <is>
          <t>FCF / revenue</t>
        </is>
      </c>
      <c r="B27" s="9" t="n">
        <v>0.06205250596658711</v>
      </c>
      <c r="C27" s="9" t="n">
        <v>0.06132718807317876</v>
      </c>
      <c r="D27" s="9" t="n">
        <v>0.06067353186752018</v>
      </c>
      <c r="E27" s="9" t="n">
        <v>0.06154566744730679</v>
      </c>
      <c r="F27" s="9" t="n">
        <v>0.06146594390761254</v>
      </c>
      <c r="G27" s="9" t="n">
        <v>0.06096481006758332</v>
      </c>
      <c r="H27" s="9" t="n">
        <v>0.06008701625830089</v>
      </c>
      <c r="I27" s="9" t="n">
        <v>0.06116009280742459</v>
      </c>
      <c r="J27" s="9" t="n">
        <v>0.06105302464525766</v>
      </c>
      <c r="K27" s="9" t="n">
        <v>0.06055570940644327</v>
      </c>
      <c r="L27" s="9" t="n">
        <v>0.05975570993960859</v>
      </c>
      <c r="M27" s="9" t="n">
        <v>0.0607816091954023</v>
      </c>
      <c r="N27" s="9" t="n">
        <v>0.0606396746163801</v>
      </c>
      <c r="O27" s="9" t="n">
        <v>0.06021229868228404</v>
      </c>
      <c r="P27" s="9" t="n">
        <v>0.05933917734322319</v>
      </c>
      <c r="Q27" s="9" t="n">
        <v>0.06041002277904328</v>
      </c>
      <c r="W27" s="9">
        <f>IFERROR(AVERAGE(H27:Q27),"")</f>
        <v/>
      </c>
      <c r="X27" s="9">
        <f>IFERROR(AVERAGE(M27:Q27),"")</f>
        <v/>
      </c>
      <c r="Y27" s="9">
        <f>IFERROR(AVERAGE(O27:Q27),"")</f>
        <v/>
      </c>
    </row>
    <row r="29">
      <c r="A29" s="7" t="inlineStr">
        <is>
          <t>Cash Deployment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3" t="inlineStr">
        <is>
          <t>Capital expenditures</t>
        </is>
      </c>
      <c r="B30" s="10" t="n">
        <v>-3222</v>
      </c>
      <c r="C30" s="10" t="n">
        <v>-3230</v>
      </c>
      <c r="D30" s="10" t="n">
        <v>-3238</v>
      </c>
      <c r="E30" s="10" t="n">
        <v>-1228</v>
      </c>
      <c r="F30" s="10" t="n">
        <v>-3231</v>
      </c>
      <c r="G30" s="10" t="n">
        <v>-3239</v>
      </c>
      <c r="H30" s="10" t="n">
        <v>-3247</v>
      </c>
      <c r="I30" s="10" t="n">
        <v>-1236</v>
      </c>
      <c r="J30" s="10" t="n">
        <v>-3240</v>
      </c>
      <c r="K30" s="10" t="n">
        <v>-3248</v>
      </c>
      <c r="L30" s="10" t="n">
        <v>-3256</v>
      </c>
      <c r="M30" s="10" t="n">
        <v>-1244</v>
      </c>
      <c r="N30" s="10" t="n">
        <v>-3249</v>
      </c>
      <c r="O30" s="10" t="n">
        <v>-3257</v>
      </c>
      <c r="P30" s="10" t="n">
        <v>-3265</v>
      </c>
      <c r="Q30" s="10" t="n">
        <v>-1252</v>
      </c>
      <c r="W30" s="10">
        <f>IFERROR(AVERAGE(H30:Q30),"")</f>
        <v/>
      </c>
      <c r="X30" s="10">
        <f>IFERROR(AVERAGE(M30:Q30),"")</f>
        <v/>
      </c>
      <c r="Y30" s="10">
        <f>IFERROR(AVERAGE(O30:Q30),"")</f>
        <v/>
      </c>
    </row>
    <row r="31">
      <c r="A31" s="3" t="inlineStr">
        <is>
          <t>Dividends paid</t>
        </is>
      </c>
      <c r="B31" s="10" t="n">
        <v>-2222</v>
      </c>
      <c r="C31" s="10" t="n">
        <v>-2224</v>
      </c>
      <c r="D31" s="10" t="n">
        <v>-2226</v>
      </c>
      <c r="E31" s="10" t="n">
        <v>-207</v>
      </c>
      <c r="F31" s="10" t="n">
        <v>-2225</v>
      </c>
      <c r="G31" s="10" t="n">
        <v>-2227</v>
      </c>
      <c r="H31" s="10" t="n">
        <v>-2229</v>
      </c>
      <c r="I31" s="10" t="n">
        <v>-209</v>
      </c>
      <c r="J31" s="10" t="n">
        <v>-2228</v>
      </c>
      <c r="K31" s="10" t="n">
        <v>-2230</v>
      </c>
      <c r="L31" s="10" t="n">
        <v>-2232</v>
      </c>
      <c r="M31" s="10" t="n">
        <v>-211</v>
      </c>
      <c r="N31" s="10" t="n">
        <v>-2231</v>
      </c>
      <c r="O31" s="10" t="n">
        <v>-2233</v>
      </c>
      <c r="P31" s="10" t="n">
        <v>-2235</v>
      </c>
      <c r="Q31" s="10" t="n">
        <v>-213</v>
      </c>
      <c r="W31" s="10">
        <f>IFERROR(AVERAGE(H31:Q31),"")</f>
        <v/>
      </c>
      <c r="X31" s="10">
        <f>IFERROR(AVERAGE(M31:Q31),"")</f>
        <v/>
      </c>
      <c r="Y31" s="10">
        <f>IFERROR(AVERAGE(O31:Q31),"")</f>
        <v/>
      </c>
    </row>
    <row r="32">
      <c r="A32" s="3" t="inlineStr">
        <is>
          <t>Share repurchases</t>
        </is>
      </c>
      <c r="B32" s="10" t="n">
        <v>-2322</v>
      </c>
      <c r="C32" s="10" t="n">
        <v>-2325</v>
      </c>
      <c r="D32" s="10" t="n">
        <v>-2328</v>
      </c>
      <c r="E32" s="10" t="n">
        <v>-310.5</v>
      </c>
      <c r="F32" s="10" t="n">
        <v>-2326</v>
      </c>
      <c r="G32" s="10" t="n">
        <v>-2329</v>
      </c>
      <c r="H32" s="10" t="n">
        <v>-2332</v>
      </c>
      <c r="I32" s="10" t="n">
        <v>-313.5</v>
      </c>
      <c r="J32" s="10" t="n">
        <v>-2330</v>
      </c>
      <c r="K32" s="10" t="n">
        <v>-2333</v>
      </c>
      <c r="L32" s="10" t="n">
        <v>-2336</v>
      </c>
      <c r="M32" s="10" t="n">
        <v>-316.5</v>
      </c>
      <c r="N32" s="10" t="n">
        <v>-2334</v>
      </c>
      <c r="O32" s="10" t="n">
        <v>-2337</v>
      </c>
      <c r="P32" s="10" t="n">
        <v>-2340</v>
      </c>
      <c r="Q32" s="10" t="n">
        <v>-319.5</v>
      </c>
      <c r="W32" s="10">
        <f>IFERROR(AVERAGE(H32:Q32),"")</f>
        <v/>
      </c>
      <c r="X32" s="10">
        <f>IFERROR(AVERAGE(M32:Q32),"")</f>
        <v/>
      </c>
      <c r="Y32" s="10">
        <f>IFERROR(AVERAGE(O32:Q32),"")</f>
        <v/>
      </c>
    </row>
    <row r="35">
      <c r="A35" s="2" t="inlineStr">
        <is>
          <t>INCOME STATEMENT</t>
        </is>
      </c>
    </row>
    <row r="36">
      <c r="A36" s="5" t="n"/>
      <c r="B36" s="6" t="n"/>
      <c r="C36" s="6" t="n"/>
      <c r="D36" s="6" t="n"/>
      <c r="E36" s="6" t="n"/>
      <c r="F36" s="6" t="n">
        <v>2022</v>
      </c>
      <c r="G36" s="6" t="n"/>
      <c r="H36" s="6" t="n"/>
      <c r="I36" s="6" t="n"/>
      <c r="J36" s="6" t="n"/>
      <c r="K36" s="6" t="n"/>
      <c r="L36" s="6" t="n">
        <v>2023</v>
      </c>
      <c r="M36" s="6" t="n"/>
      <c r="N36" s="6" t="n"/>
      <c r="O36" s="6" t="n"/>
      <c r="P36" s="6" t="n"/>
      <c r="Q36" s="6" t="n"/>
      <c r="R36" s="6" t="n">
        <v>2024</v>
      </c>
      <c r="S36" s="6" t="n"/>
      <c r="T36" s="6" t="n"/>
      <c r="U36" s="6" t="n"/>
      <c r="V36" s="6" t="n"/>
      <c r="W36" s="6" t="n"/>
      <c r="X36" s="6" t="n">
        <v>2025</v>
      </c>
      <c r="Y36" s="6" t="n"/>
    </row>
    <row r="37">
      <c r="A37" s="5" t="n"/>
      <c r="B37" s="6" t="inlineStr">
        <is>
          <t>Q1</t>
        </is>
      </c>
      <c r="C37" s="6" t="inlineStr">
        <is>
          <t>Q2</t>
        </is>
      </c>
      <c r="D37" s="6" t="inlineStr">
        <is>
          <t>Q3</t>
        </is>
      </c>
      <c r="E37" s="6" t="inlineStr">
        <is>
          <t>Q4</t>
        </is>
      </c>
      <c r="F37" s="6" t="inlineStr">
        <is>
          <t>2022</t>
        </is>
      </c>
      <c r="G37" s="6" t="n"/>
      <c r="H37" s="6" t="inlineStr">
        <is>
          <t>Q1</t>
        </is>
      </c>
      <c r="I37" s="6" t="inlineStr">
        <is>
          <t>Q2</t>
        </is>
      </c>
      <c r="J37" s="6" t="inlineStr">
        <is>
          <t>Q3</t>
        </is>
      </c>
      <c r="K37" s="6" t="inlineStr">
        <is>
          <t>Q4</t>
        </is>
      </c>
      <c r="L37" s="6" t="inlineStr">
        <is>
          <t>2023</t>
        </is>
      </c>
      <c r="M37" s="6" t="n"/>
      <c r="N37" s="6" t="inlineStr">
        <is>
          <t>Q1</t>
        </is>
      </c>
      <c r="O37" s="6" t="inlineStr">
        <is>
          <t>Q2</t>
        </is>
      </c>
      <c r="P37" s="6" t="inlineStr">
        <is>
          <t>Q3</t>
        </is>
      </c>
      <c r="Q37" s="6" t="inlineStr">
        <is>
          <t>Q4</t>
        </is>
      </c>
      <c r="R37" s="6" t="inlineStr">
        <is>
          <t>2024</t>
        </is>
      </c>
      <c r="S37" s="6" t="n"/>
      <c r="T37" s="6" t="inlineStr">
        <is>
          <t>Q1</t>
        </is>
      </c>
      <c r="U37" s="6" t="inlineStr">
        <is>
          <t>Q2</t>
        </is>
      </c>
      <c r="V37" s="6" t="inlineStr">
        <is>
          <t>Q3</t>
        </is>
      </c>
      <c r="W37" s="6" t="inlineStr">
        <is>
          <t>Q4</t>
        </is>
      </c>
      <c r="X37" s="6" t="inlineStr">
        <is>
          <t>2025</t>
        </is>
      </c>
      <c r="Y37" s="6" t="n"/>
    </row>
    <row r="38">
      <c r="A38" s="3" t="inlineStr">
        <is>
          <t>Revenue</t>
        </is>
      </c>
      <c r="B38" s="10" t="n">
        <v>20950</v>
      </c>
      <c r="C38" s="10" t="n">
        <v>21263</v>
      </c>
      <c r="D38" s="10" t="n">
        <v>21558</v>
      </c>
      <c r="E38" s="10" t="n">
        <v>21350</v>
      </c>
      <c r="F38" s="10" t="n">
        <v>85121</v>
      </c>
      <c r="H38" s="10" t="n">
        <v>21215</v>
      </c>
      <c r="I38" s="10" t="n">
        <v>21455</v>
      </c>
      <c r="J38" s="10" t="n">
        <v>21835</v>
      </c>
      <c r="K38" s="10" t="n">
        <v>21550</v>
      </c>
      <c r="L38" s="10" t="n">
        <v>86055</v>
      </c>
      <c r="N38" s="10" t="n">
        <v>21424</v>
      </c>
      <c r="O38" s="10" t="n">
        <v>21666</v>
      </c>
      <c r="P38" s="10" t="n">
        <v>22023</v>
      </c>
      <c r="Q38" s="10" t="n">
        <v>21750</v>
      </c>
      <c r="R38" s="10" t="n">
        <v>86863</v>
      </c>
      <c r="T38" s="10" t="n">
        <v>21636</v>
      </c>
      <c r="U38" s="10" t="n">
        <v>21856</v>
      </c>
      <c r="V38" s="10" t="n">
        <v>22245</v>
      </c>
      <c r="W38" s="10" t="n">
        <v>21950</v>
      </c>
      <c r="X38" s="10" t="n">
        <v>87687</v>
      </c>
    </row>
    <row r="39">
      <c r="A39" s="3" t="inlineStr">
        <is>
          <t>Cost of Revenue / Operating Expenses</t>
        </is>
      </c>
    </row>
    <row r="40">
      <c r="A40" s="3" t="inlineStr">
        <is>
          <t xml:space="preserve">    Salaries, Wages &amp; Benefits</t>
        </is>
      </c>
    </row>
    <row r="41">
      <c r="A41" s="3" t="inlineStr">
        <is>
          <t xml:space="preserve">    Purchased Transportation</t>
        </is>
      </c>
    </row>
    <row r="42">
      <c r="A42" s="3" t="inlineStr">
        <is>
          <t xml:space="preserve">    Depreciation &amp; Amortization</t>
        </is>
      </c>
    </row>
    <row r="43">
      <c r="A43" s="3" t="inlineStr">
        <is>
          <t xml:space="preserve">    Fuel</t>
        </is>
      </c>
    </row>
    <row r="44">
      <c r="A44" s="3" t="inlineStr">
        <is>
          <t xml:space="preserve">    Maintenance &amp; Repairs</t>
        </is>
      </c>
    </row>
    <row r="45">
      <c r="A45" s="3" t="inlineStr">
        <is>
          <t xml:space="preserve">    Selling, General &amp; Administrative</t>
        </is>
      </c>
      <c r="B45" s="10" t="n">
        <v>3522</v>
      </c>
      <c r="C45" s="10" t="n">
        <v>3527</v>
      </c>
      <c r="D45" s="10" t="n">
        <v>3532</v>
      </c>
      <c r="E45" s="10" t="n">
        <v>1517.5</v>
      </c>
      <c r="F45" s="10" t="n">
        <v>12098.5</v>
      </c>
      <c r="H45" s="10" t="n">
        <v>3528</v>
      </c>
      <c r="I45" s="10" t="n">
        <v>3533</v>
      </c>
      <c r="J45" s="10" t="n">
        <v>3538</v>
      </c>
      <c r="K45" s="10" t="n">
        <v>1522.5</v>
      </c>
      <c r="L45" s="10" t="n">
        <v>12121.5</v>
      </c>
      <c r="N45" s="10" t="n">
        <v>3534</v>
      </c>
      <c r="O45" s="10" t="n">
        <v>3539</v>
      </c>
      <c r="P45" s="10" t="n">
        <v>3544</v>
      </c>
      <c r="Q45" s="10" t="n">
        <v>1527.5</v>
      </c>
      <c r="R45" s="10" t="n">
        <v>12144.5</v>
      </c>
      <c r="T45" s="10" t="n">
        <v>3540</v>
      </c>
      <c r="U45" s="10" t="n">
        <v>3545</v>
      </c>
      <c r="V45" s="10" t="n">
        <v>3550</v>
      </c>
      <c r="W45" s="10" t="n">
        <v>1532.5</v>
      </c>
      <c r="X45" s="10" t="n">
        <v>12167.5</v>
      </c>
    </row>
    <row r="46">
      <c r="A46" s="3" t="inlineStr">
        <is>
          <t xml:space="preserve">    Other Operating Expense</t>
        </is>
      </c>
    </row>
    <row r="47">
      <c r="A47" s="11" t="inlineStr">
        <is>
          <t>Operating Income</t>
        </is>
      </c>
      <c r="B47" s="12" t="n">
        <v>4022</v>
      </c>
      <c r="C47" s="12" t="n">
        <v>4032</v>
      </c>
      <c r="D47" s="12" t="n">
        <v>4042</v>
      </c>
      <c r="E47" s="12" t="n">
        <v>2035</v>
      </c>
      <c r="F47" s="12" t="n">
        <v>14131</v>
      </c>
      <c r="H47" s="12" t="n">
        <v>4033</v>
      </c>
      <c r="I47" s="12" t="n">
        <v>4043</v>
      </c>
      <c r="J47" s="12" t="n">
        <v>4053</v>
      </c>
      <c r="K47" s="12" t="n">
        <v>2045</v>
      </c>
      <c r="L47" s="12" t="n">
        <v>14174</v>
      </c>
      <c r="N47" s="12" t="n">
        <v>4044</v>
      </c>
      <c r="O47" s="12" t="n">
        <v>4054</v>
      </c>
      <c r="P47" s="12" t="n">
        <v>4064</v>
      </c>
      <c r="Q47" s="12" t="n">
        <v>2055</v>
      </c>
      <c r="R47" s="12" t="n">
        <v>14217</v>
      </c>
      <c r="T47" s="12" t="n">
        <v>4055</v>
      </c>
      <c r="U47" s="12" t="n">
        <v>4065</v>
      </c>
      <c r="V47" s="12" t="n">
        <v>4075</v>
      </c>
      <c r="W47" s="12" t="n">
        <v>2065</v>
      </c>
      <c r="X47" s="12" t="n">
        <v>14260</v>
      </c>
    </row>
    <row r="48">
      <c r="A48" s="3" t="inlineStr">
        <is>
          <t>Interest Expense</t>
        </is>
      </c>
    </row>
    <row r="49">
      <c r="A49" s="3" t="inlineStr">
        <is>
          <t>Interest Income</t>
        </is>
      </c>
    </row>
    <row r="50">
      <c r="A50" s="3" t="inlineStr">
        <is>
          <t>Other Non-Operating Income (Expense)</t>
        </is>
      </c>
    </row>
    <row r="51">
      <c r="A51" s="11" t="inlineStr">
        <is>
          <t>Pretax Income</t>
        </is>
      </c>
    </row>
    <row r="52">
      <c r="A52" s="3" t="inlineStr">
        <is>
          <t>Income Tax Expense (Benefit)</t>
        </is>
      </c>
    </row>
    <row r="53">
      <c r="A53" s="3" t="inlineStr">
        <is>
          <t>Equity Method Investment Income</t>
        </is>
      </c>
    </row>
    <row r="54">
      <c r="A54" s="11" t="inlineStr">
        <is>
          <t>Net Income from Continuing Operations</t>
        </is>
      </c>
    </row>
    <row r="55">
      <c r="A55" s="3" t="inlineStr">
        <is>
          <t>Income from Discontinued Operations</t>
        </is>
      </c>
    </row>
    <row r="56">
      <c r="A56" s="3" t="inlineStr">
        <is>
          <t>Net Income Attributable to Noncontrolling Interest</t>
        </is>
      </c>
    </row>
    <row r="57">
      <c r="A57" s="11" t="inlineStr">
        <is>
          <t>Net Income</t>
        </is>
      </c>
      <c r="B57" s="12" t="n">
        <v>816</v>
      </c>
      <c r="C57" s="12" t="n">
        <v>852</v>
      </c>
      <c r="D57" s="12" t="n">
        <v>883</v>
      </c>
      <c r="E57" s="12" t="n">
        <v>880</v>
      </c>
      <c r="F57" s="12" t="n">
        <v>3431</v>
      </c>
      <c r="H57" s="12" t="n">
        <v>847</v>
      </c>
      <c r="I57" s="12" t="n">
        <v>888</v>
      </c>
      <c r="J57" s="12" t="n">
        <v>919</v>
      </c>
      <c r="K57" s="12" t="n">
        <v>910</v>
      </c>
      <c r="L57" s="12" t="n">
        <v>3564</v>
      </c>
      <c r="N57" s="12" t="n">
        <v>859</v>
      </c>
      <c r="O57" s="12" t="n">
        <v>901</v>
      </c>
      <c r="P57" s="12" t="n">
        <v>945</v>
      </c>
      <c r="Q57" s="12" t="n">
        <v>940</v>
      </c>
      <c r="R57" s="12" t="n">
        <v>3645</v>
      </c>
      <c r="T57" s="12" t="n">
        <v>894</v>
      </c>
      <c r="U57" s="12" t="n">
        <v>922</v>
      </c>
      <c r="V57" s="12" t="n">
        <v>1004</v>
      </c>
      <c r="W57" s="12" t="n">
        <v>970</v>
      </c>
      <c r="X57" s="12" t="n">
        <v>3790</v>
      </c>
    </row>
    <row r="58">
      <c r="A58" s="3" t="inlineStr">
        <is>
          <t>EPS - Basic</t>
        </is>
      </c>
    </row>
    <row r="59">
      <c r="A59" s="3" t="inlineStr">
        <is>
          <t>EPS - Diluted</t>
        </is>
      </c>
      <c r="B59" s="13" t="n">
        <v>2.92</v>
      </c>
      <c r="C59" s="13" t="n">
        <v>3.28</v>
      </c>
      <c r="D59" s="13" t="n">
        <v>3.66</v>
      </c>
      <c r="E59" s="13" t="n">
        <v>3.4</v>
      </c>
      <c r="F59" s="13" t="n">
        <v>13.26</v>
      </c>
      <c r="H59" s="13" t="n">
        <v>3.58</v>
      </c>
      <c r="I59" s="13" t="n">
        <v>3.79</v>
      </c>
      <c r="J59" s="13" t="n">
        <v>4.14</v>
      </c>
      <c r="K59" s="13" t="n">
        <v>3.9</v>
      </c>
      <c r="L59" s="13" t="n">
        <v>15.41</v>
      </c>
      <c r="N59" s="13" t="n">
        <v>4.03</v>
      </c>
      <c r="O59" s="13" t="n">
        <v>4.33</v>
      </c>
      <c r="P59" s="13" t="n">
        <v>4.57</v>
      </c>
      <c r="Q59" s="13" t="n">
        <v>4.399999999999999</v>
      </c>
      <c r="R59" s="13" t="n">
        <v>17.33</v>
      </c>
      <c r="T59" s="13" t="n">
        <v>4.46</v>
      </c>
      <c r="U59" s="13" t="n">
        <v>4.75</v>
      </c>
      <c r="V59" s="13" t="n">
        <v>5.06</v>
      </c>
      <c r="W59" s="13" t="n">
        <v>4.900000000000002</v>
      </c>
      <c r="X59" s="13" t="n">
        <v>19.17</v>
      </c>
    </row>
    <row r="60">
      <c r="A60" s="3" t="inlineStr">
        <is>
          <t>Weighted Avg Shares - Basic</t>
        </is>
      </c>
    </row>
    <row r="61">
      <c r="A61" s="3" t="inlineStr">
        <is>
          <t>Weighted Avg Shares - Diluted</t>
        </is>
      </c>
    </row>
    <row r="64">
      <c r="A64" s="2" t="inlineStr">
        <is>
          <t>BALANCE SHEET</t>
        </is>
      </c>
    </row>
    <row r="65">
      <c r="A65" s="5" t="n"/>
      <c r="B65" s="6" t="n"/>
      <c r="C65" s="6" t="n"/>
      <c r="D65" s="6" t="n"/>
      <c r="E65" s="6" t="n"/>
      <c r="F65" s="6" t="n">
        <v>2022</v>
      </c>
      <c r="G65" s="6" t="n"/>
      <c r="H65" s="6" t="n"/>
      <c r="I65" s="6" t="n"/>
      <c r="J65" s="6" t="n"/>
      <c r="K65" s="6" t="n"/>
      <c r="L65" s="6" t="n">
        <v>2023</v>
      </c>
      <c r="M65" s="6" t="n"/>
      <c r="N65" s="6" t="n"/>
      <c r="O65" s="6" t="n"/>
      <c r="P65" s="6" t="n"/>
      <c r="Q65" s="6" t="n"/>
      <c r="R65" s="6" t="n">
        <v>2024</v>
      </c>
      <c r="S65" s="6" t="n"/>
      <c r="T65" s="6" t="n"/>
      <c r="U65" s="6" t="n"/>
      <c r="V65" s="6" t="n"/>
      <c r="W65" s="6" t="n"/>
      <c r="X65" s="6" t="n">
        <v>2025</v>
      </c>
      <c r="Y65" s="6" t="n"/>
    </row>
    <row r="66">
      <c r="A66" s="5" t="n"/>
      <c r="B66" s="6" t="inlineStr">
        <is>
          <t>Q1</t>
        </is>
      </c>
      <c r="C66" s="6" t="inlineStr">
        <is>
          <t>Q2</t>
        </is>
      </c>
      <c r="D66" s="6" t="inlineStr">
        <is>
          <t>Q3</t>
        </is>
      </c>
      <c r="E66" s="6" t="inlineStr">
        <is>
          <t>Q4</t>
        </is>
      </c>
      <c r="F66" s="6" t="inlineStr">
        <is>
          <t>2022</t>
        </is>
      </c>
      <c r="G66" s="6" t="n"/>
      <c r="H66" s="6" t="inlineStr">
        <is>
          <t>Q1</t>
        </is>
      </c>
      <c r="I66" s="6" t="inlineStr">
        <is>
          <t>Q2</t>
        </is>
      </c>
      <c r="J66" s="6" t="inlineStr">
        <is>
          <t>Q3</t>
        </is>
      </c>
      <c r="K66" s="6" t="inlineStr">
        <is>
          <t>Q4</t>
        </is>
      </c>
      <c r="L66" s="6" t="inlineStr">
        <is>
          <t>2023</t>
        </is>
      </c>
      <c r="M66" s="6" t="n"/>
      <c r="N66" s="6" t="inlineStr">
        <is>
          <t>Q1</t>
        </is>
      </c>
      <c r="O66" s="6" t="inlineStr">
        <is>
          <t>Q2</t>
        </is>
      </c>
      <c r="P66" s="6" t="inlineStr">
        <is>
          <t>Q3</t>
        </is>
      </c>
      <c r="Q66" s="6" t="inlineStr">
        <is>
          <t>Q4</t>
        </is>
      </c>
      <c r="R66" s="6" t="inlineStr">
        <is>
          <t>2024</t>
        </is>
      </c>
      <c r="S66" s="6" t="n"/>
      <c r="T66" s="6" t="inlineStr">
        <is>
          <t>Q1</t>
        </is>
      </c>
      <c r="U66" s="6" t="inlineStr">
        <is>
          <t>Q2</t>
        </is>
      </c>
      <c r="V66" s="6" t="inlineStr">
        <is>
          <t>Q3</t>
        </is>
      </c>
      <c r="W66" s="6" t="inlineStr">
        <is>
          <t>Q4</t>
        </is>
      </c>
      <c r="X66" s="6" t="inlineStr">
        <is>
          <t>2025</t>
        </is>
      </c>
      <c r="Y66" s="6" t="n"/>
    </row>
    <row r="67">
      <c r="A67" s="3" t="inlineStr">
        <is>
          <t>Cash &amp; Cash Equivalents</t>
        </is>
      </c>
    </row>
    <row r="68">
      <c r="A68" s="3" t="inlineStr">
        <is>
          <t>Short-Term Investments</t>
        </is>
      </c>
    </row>
    <row r="69">
      <c r="A69" s="3" t="inlineStr">
        <is>
          <t>Accounts Receivable, Net</t>
        </is>
      </c>
    </row>
    <row r="70">
      <c r="A70" s="3" t="inlineStr">
        <is>
          <t>Inventory, Net</t>
        </is>
      </c>
    </row>
    <row r="71">
      <c r="A71" s="3" t="inlineStr">
        <is>
          <t>Prepaid Expenses &amp; Other Current Assets</t>
        </is>
      </c>
    </row>
    <row r="72">
      <c r="A72" s="11" t="inlineStr">
        <is>
          <t>Total Current Assets</t>
        </is>
      </c>
      <c r="B72" s="12" t="n">
        <v>20000</v>
      </c>
      <c r="C72" s="12" t="n">
        <v>20001</v>
      </c>
      <c r="D72" s="12" t="n">
        <v>20002</v>
      </c>
      <c r="F72" s="12" t="n">
        <v>20003</v>
      </c>
      <c r="H72" s="12" t="n">
        <v>20104</v>
      </c>
      <c r="I72" s="12" t="n">
        <v>20105</v>
      </c>
      <c r="J72" s="12" t="n">
        <v>20106</v>
      </c>
      <c r="L72" s="12" t="n">
        <v>20107</v>
      </c>
      <c r="N72" s="12" t="n">
        <v>20208</v>
      </c>
      <c r="O72" s="12" t="n">
        <v>20209</v>
      </c>
      <c r="P72" s="12" t="n">
        <v>20210</v>
      </c>
      <c r="R72" s="12" t="n">
        <v>20211</v>
      </c>
      <c r="T72" s="12" t="n">
        <v>20312</v>
      </c>
      <c r="U72" s="12" t="n">
        <v>20313</v>
      </c>
      <c r="V72" s="12" t="n">
        <v>20314</v>
      </c>
      <c r="X72" s="12" t="n">
        <v>20315</v>
      </c>
    </row>
    <row r="73">
      <c r="A73" s="3" t="inlineStr">
        <is>
          <t>Property, Plant &amp; Equipment, Net</t>
        </is>
      </c>
    </row>
    <row r="74">
      <c r="A74" s="3" t="inlineStr">
        <is>
          <t>Operating Lease Right-of-Use Assets</t>
        </is>
      </c>
    </row>
    <row r="75">
      <c r="A75" s="3" t="inlineStr">
        <is>
          <t>Goodwill</t>
        </is>
      </c>
    </row>
    <row r="76">
      <c r="A76" s="3" t="inlineStr">
        <is>
          <t>Intangible Assets, Net</t>
        </is>
      </c>
    </row>
    <row r="77">
      <c r="A77" s="3" t="inlineStr">
        <is>
          <t>Deferred Income Tax Assets</t>
        </is>
      </c>
    </row>
    <row r="78">
      <c r="A78" s="3" t="inlineStr">
        <is>
          <t>Other Long-Term Assets</t>
        </is>
      </c>
    </row>
    <row r="79">
      <c r="A79" s="11" t="inlineStr">
        <is>
          <t>Total Assets</t>
        </is>
      </c>
      <c r="B79" s="12" t="n">
        <v>80171</v>
      </c>
      <c r="C79" s="12" t="n">
        <v>79916</v>
      </c>
      <c r="D79" s="12" t="n">
        <v>80003</v>
      </c>
      <c r="F79" s="12" t="n">
        <v>80899</v>
      </c>
      <c r="H79" s="12" t="n">
        <v>82151</v>
      </c>
      <c r="I79" s="12" t="n">
        <v>80707</v>
      </c>
      <c r="J79" s="12" t="n">
        <v>81106</v>
      </c>
      <c r="L79" s="12" t="n">
        <v>80948</v>
      </c>
      <c r="N79" s="12" t="n">
        <v>82080</v>
      </c>
      <c r="O79" s="12" t="n">
        <v>82266</v>
      </c>
      <c r="P79" s="12" t="n">
        <v>81562</v>
      </c>
      <c r="R79" s="12" t="n">
        <v>81320</v>
      </c>
      <c r="T79" s="12" t="n">
        <v>82388</v>
      </c>
      <c r="U79" s="12" t="n">
        <v>83561</v>
      </c>
      <c r="V79" s="12" t="n">
        <v>83243</v>
      </c>
      <c r="X79" s="12" t="n">
        <v>83861</v>
      </c>
    </row>
    <row r="80">
      <c r="A80" s="3" t="inlineStr">
        <is>
          <t>Current Portion of Long-Term Debt</t>
        </is>
      </c>
    </row>
    <row r="81">
      <c r="A81" s="3" t="inlineStr">
        <is>
          <t>Accounts Payable</t>
        </is>
      </c>
    </row>
    <row r="82">
      <c r="A82" s="3" t="inlineStr">
        <is>
          <t>Accrued Salaries &amp; Employee Benefits</t>
        </is>
      </c>
    </row>
    <row r="83">
      <c r="A83" s="3" t="inlineStr">
        <is>
          <t>Current Operating Lease Liabilities</t>
        </is>
      </c>
    </row>
    <row r="84">
      <c r="A84" s="3" t="inlineStr">
        <is>
          <t>Other Current Liabilities</t>
        </is>
      </c>
    </row>
    <row r="85">
      <c r="A85" s="11" t="inlineStr">
        <is>
          <t>Total Current Liabilities</t>
        </is>
      </c>
      <c r="B85" s="12" t="n">
        <v>15000</v>
      </c>
      <c r="C85" s="12" t="n">
        <v>15001</v>
      </c>
      <c r="D85" s="12" t="n">
        <v>15002</v>
      </c>
      <c r="F85" s="12" t="n">
        <v>15003</v>
      </c>
      <c r="H85" s="12" t="n">
        <v>15104</v>
      </c>
      <c r="I85" s="12" t="n">
        <v>15105</v>
      </c>
      <c r="J85" s="12" t="n">
        <v>15106</v>
      </c>
      <c r="L85" s="12" t="n">
        <v>15107</v>
      </c>
      <c r="N85" s="12" t="n">
        <v>15208</v>
      </c>
      <c r="O85" s="12" t="n">
        <v>15209</v>
      </c>
      <c r="P85" s="12" t="n">
        <v>15210</v>
      </c>
      <c r="R85" s="12" t="n">
        <v>15211</v>
      </c>
      <c r="T85" s="12" t="n">
        <v>15312</v>
      </c>
      <c r="U85" s="12" t="n">
        <v>15313</v>
      </c>
      <c r="V85" s="12" t="n">
        <v>15314</v>
      </c>
      <c r="X85" s="12" t="n">
        <v>15315</v>
      </c>
    </row>
    <row r="86">
      <c r="A86" s="3" t="inlineStr">
        <is>
          <t>Long-Term Debt, Net</t>
        </is>
      </c>
      <c r="B86" s="10" t="n">
        <v>18000</v>
      </c>
      <c r="C86" s="10" t="n">
        <v>18001</v>
      </c>
      <c r="D86" s="10" t="n">
        <v>18002</v>
      </c>
      <c r="F86" s="10" t="n">
        <v>18003</v>
      </c>
      <c r="H86" s="10" t="n">
        <v>18104</v>
      </c>
      <c r="I86" s="10" t="n">
        <v>18105</v>
      </c>
      <c r="J86" s="10" t="n">
        <v>18106</v>
      </c>
      <c r="L86" s="10" t="n">
        <v>18107</v>
      </c>
      <c r="N86" s="10" t="n">
        <v>18208</v>
      </c>
      <c r="O86" s="10" t="n">
        <v>18209</v>
      </c>
      <c r="P86" s="10" t="n">
        <v>18210</v>
      </c>
      <c r="R86" s="10" t="n">
        <v>18211</v>
      </c>
      <c r="T86" s="10" t="n">
        <v>18312</v>
      </c>
      <c r="U86" s="10" t="n">
        <v>18313</v>
      </c>
      <c r="V86" s="10" t="n">
        <v>18314</v>
      </c>
      <c r="X86" s="10" t="n">
        <v>18315</v>
      </c>
    </row>
    <row r="87">
      <c r="A87" s="3" t="inlineStr">
        <is>
          <t>Noncurrent Operating Lease Liabilities</t>
        </is>
      </c>
    </row>
    <row r="88">
      <c r="A88" s="3" t="inlineStr">
        <is>
          <t>Pension &amp; Postretirement Liabilities</t>
        </is>
      </c>
    </row>
    <row r="89">
      <c r="A89" s="3" t="inlineStr">
        <is>
          <t>Deferred Income Tax Liabilities</t>
        </is>
      </c>
    </row>
    <row r="90">
      <c r="A90" s="3" t="inlineStr">
        <is>
          <t>Other Long-Term Liabilities</t>
        </is>
      </c>
    </row>
    <row r="91">
      <c r="A91" s="11" t="inlineStr">
        <is>
          <t>Total Liabilities</t>
        </is>
      </c>
    </row>
    <row r="92">
      <c r="A92" s="3" t="inlineStr">
        <is>
          <t>Common Stock</t>
        </is>
      </c>
    </row>
    <row r="93">
      <c r="A93" s="3" t="inlineStr">
        <is>
          <t>Additional Paid-In Capital</t>
        </is>
      </c>
    </row>
    <row r="94">
      <c r="A94" s="3" t="inlineStr">
        <is>
          <t>Retained Earnings</t>
        </is>
      </c>
    </row>
    <row r="95">
      <c r="A95" s="3" t="inlineStr">
        <is>
          <t>Treasury Stock</t>
        </is>
      </c>
    </row>
    <row r="96">
      <c r="A96" s="3" t="inlineStr">
        <is>
          <t>Accumulated Other Comprehensive Income (Loss)</t>
        </is>
      </c>
    </row>
    <row r="97">
      <c r="A97" s="3" t="inlineStr">
        <is>
          <t>Noncontrolling Interest</t>
        </is>
      </c>
    </row>
    <row r="98">
      <c r="A98" s="11" t="inlineStr">
        <is>
          <t>Total Stockholders' Equity</t>
        </is>
      </c>
    </row>
    <row r="99">
      <c r="A99" s="11" t="inlineStr">
        <is>
          <t>Total Liabilities &amp; Stockholders' Equity</t>
        </is>
      </c>
    </row>
    <row r="102">
      <c r="A102" s="2" t="inlineStr">
        <is>
          <t>CASH FLOW STATEMENT</t>
        </is>
      </c>
    </row>
    <row r="103">
      <c r="A103" s="5" t="n"/>
      <c r="B103" s="6" t="n"/>
      <c r="C103" s="6" t="n"/>
      <c r="D103" s="6" t="n"/>
      <c r="E103" s="6" t="n"/>
      <c r="F103" s="6" t="n">
        <v>2022</v>
      </c>
      <c r="G103" s="6" t="n"/>
      <c r="H103" s="6" t="n"/>
      <c r="I103" s="6" t="n"/>
      <c r="J103" s="6" t="n"/>
      <c r="K103" s="6" t="n"/>
      <c r="L103" s="6" t="n">
        <v>2023</v>
      </c>
      <c r="M103" s="6" t="n"/>
      <c r="N103" s="6" t="n"/>
      <c r="O103" s="6" t="n"/>
      <c r="P103" s="6" t="n"/>
      <c r="Q103" s="6" t="n"/>
      <c r="R103" s="6" t="n">
        <v>2024</v>
      </c>
      <c r="S103" s="6" t="n"/>
      <c r="T103" s="6" t="n"/>
      <c r="U103" s="6" t="n"/>
      <c r="V103" s="6" t="n"/>
      <c r="W103" s="6" t="n"/>
      <c r="X103" s="6" t="n">
        <v>2025</v>
      </c>
      <c r="Y103" s="6" t="n"/>
    </row>
    <row r="104">
      <c r="A104" s="5" t="n"/>
      <c r="B104" s="6" t="inlineStr">
        <is>
          <t>Q1</t>
        </is>
      </c>
      <c r="C104" s="6" t="inlineStr">
        <is>
          <t>Q2</t>
        </is>
      </c>
      <c r="D104" s="6" t="inlineStr">
        <is>
          <t>Q3</t>
        </is>
      </c>
      <c r="E104" s="6" t="inlineStr">
        <is>
          <t>Q4</t>
        </is>
      </c>
      <c r="F104" s="6" t="inlineStr">
        <is>
          <t>2022</t>
        </is>
      </c>
      <c r="G104" s="6" t="n"/>
      <c r="H104" s="6" t="inlineStr">
        <is>
          <t>Q1</t>
        </is>
      </c>
      <c r="I104" s="6" t="inlineStr">
        <is>
          <t>Q2</t>
        </is>
      </c>
      <c r="J104" s="6" t="inlineStr">
        <is>
          <t>Q3</t>
        </is>
      </c>
      <c r="K104" s="6" t="inlineStr">
        <is>
          <t>Q4</t>
        </is>
      </c>
      <c r="L104" s="6" t="inlineStr">
        <is>
          <t>2023</t>
        </is>
      </c>
      <c r="M104" s="6" t="n"/>
      <c r="N104" s="6" t="inlineStr">
        <is>
          <t>Q1</t>
        </is>
      </c>
      <c r="O104" s="6" t="inlineStr">
        <is>
          <t>Q2</t>
        </is>
      </c>
      <c r="P104" s="6" t="inlineStr">
        <is>
          <t>Q3</t>
        </is>
      </c>
      <c r="Q104" s="6" t="inlineStr">
        <is>
          <t>Q4</t>
        </is>
      </c>
      <c r="R104" s="6" t="inlineStr">
        <is>
          <t>2024</t>
        </is>
      </c>
      <c r="S104" s="6" t="n"/>
      <c r="T104" s="6" t="inlineStr">
        <is>
          <t>Q1</t>
        </is>
      </c>
      <c r="U104" s="6" t="inlineStr">
        <is>
          <t>Q2</t>
        </is>
      </c>
      <c r="V104" s="6" t="inlineStr">
        <is>
          <t>Q3</t>
        </is>
      </c>
      <c r="W104" s="6" t="inlineStr">
        <is>
          <t>Q4</t>
        </is>
      </c>
      <c r="X104" s="6" t="inlineStr">
        <is>
          <t>2025</t>
        </is>
      </c>
      <c r="Y104" s="6" t="n"/>
    </row>
    <row r="105">
      <c r="A105" s="3" t="inlineStr">
        <is>
          <t>Net Income</t>
        </is>
      </c>
      <c r="B105" s="10" t="n">
        <v>816</v>
      </c>
      <c r="C105" s="10" t="n">
        <v>852</v>
      </c>
      <c r="D105" s="10" t="n">
        <v>883</v>
      </c>
      <c r="E105" s="10" t="n">
        <v>880</v>
      </c>
      <c r="F105" s="10" t="n">
        <v>3431</v>
      </c>
      <c r="H105" s="10" t="n">
        <v>847</v>
      </c>
      <c r="I105" s="10" t="n">
        <v>888</v>
      </c>
      <c r="J105" s="10" t="n">
        <v>919</v>
      </c>
      <c r="K105" s="10" t="n">
        <v>910</v>
      </c>
      <c r="L105" s="10" t="n">
        <v>3564</v>
      </c>
      <c r="N105" s="10" t="n">
        <v>859</v>
      </c>
      <c r="O105" s="10" t="n">
        <v>901</v>
      </c>
      <c r="P105" s="10" t="n">
        <v>945</v>
      </c>
      <c r="Q105" s="10" t="n">
        <v>940</v>
      </c>
      <c r="R105" s="10" t="n">
        <v>3645</v>
      </c>
      <c r="T105" s="10" t="n">
        <v>894</v>
      </c>
      <c r="U105" s="10" t="n">
        <v>922</v>
      </c>
      <c r="V105" s="10" t="n">
        <v>1004</v>
      </c>
      <c r="W105" s="10" t="n">
        <v>970</v>
      </c>
      <c r="X105" s="10" t="n">
        <v>3790</v>
      </c>
    </row>
    <row r="106">
      <c r="A106" s="3" t="inlineStr">
        <is>
          <t>Depreciation &amp; Amortization</t>
        </is>
      </c>
    </row>
    <row r="107">
      <c r="A107" s="3" t="inlineStr">
        <is>
          <t>Stock-Based Compensation</t>
        </is>
      </c>
    </row>
    <row r="108">
      <c r="A108" s="3" t="inlineStr">
        <is>
          <t>Deferred Income Taxes</t>
        </is>
      </c>
    </row>
    <row r="109">
      <c r="A109" s="3" t="inlineStr">
        <is>
          <t>Asset Impairment Charges</t>
        </is>
      </c>
    </row>
    <row r="110">
      <c r="A110" s="3" t="inlineStr">
        <is>
          <t>(Gain) Loss on Sale of Assets</t>
        </is>
      </c>
    </row>
    <row r="111">
      <c r="A111" s="3" t="inlineStr">
        <is>
          <t>Change in Receivables</t>
        </is>
      </c>
    </row>
    <row r="112">
      <c r="A112" s="3" t="inlineStr">
        <is>
          <t>Change in Inventory</t>
        </is>
      </c>
    </row>
    <row r="113">
      <c r="A113" s="3" t="inlineStr">
        <is>
          <t>Change in Accounts Payable</t>
        </is>
      </c>
    </row>
    <row r="114">
      <c r="A114" s="3" t="inlineStr">
        <is>
          <t>Change in Accrued/Other Liabilities</t>
        </is>
      </c>
    </row>
    <row r="115">
      <c r="A115" s="3" t="inlineStr">
        <is>
          <t>Other Operating Activities</t>
        </is>
      </c>
    </row>
    <row r="116">
      <c r="A116" s="11" t="inlineStr">
        <is>
          <t>Net Cash from Operating Activities</t>
        </is>
      </c>
      <c r="B116" s="12" t="n">
        <v>4522</v>
      </c>
      <c r="C116" s="12" t="n">
        <v>4534</v>
      </c>
      <c r="D116" s="12" t="n">
        <v>4546</v>
      </c>
      <c r="E116" s="12" t="n">
        <v>2542</v>
      </c>
      <c r="F116" s="12" t="n">
        <v>16144</v>
      </c>
      <c r="H116" s="12" t="n">
        <v>4535</v>
      </c>
      <c r="I116" s="12" t="n">
        <v>4547</v>
      </c>
      <c r="J116" s="12" t="n">
        <v>4559</v>
      </c>
      <c r="K116" s="12" t="n">
        <v>2554</v>
      </c>
      <c r="L116" s="12" t="n">
        <v>16195</v>
      </c>
      <c r="N116" s="12" t="n">
        <v>4548</v>
      </c>
      <c r="O116" s="12" t="n">
        <v>4560</v>
      </c>
      <c r="P116" s="12" t="n">
        <v>4572</v>
      </c>
      <c r="Q116" s="12" t="n">
        <v>2566</v>
      </c>
      <c r="R116" s="12" t="n">
        <v>16246</v>
      </c>
      <c r="T116" s="12" t="n">
        <v>4561</v>
      </c>
      <c r="U116" s="12" t="n">
        <v>4573</v>
      </c>
      <c r="V116" s="12" t="n">
        <v>4585</v>
      </c>
      <c r="W116" s="12" t="n">
        <v>2578</v>
      </c>
      <c r="X116" s="12" t="n">
        <v>16297</v>
      </c>
    </row>
    <row r="117">
      <c r="A117" s="3" t="inlineStr">
        <is>
          <t>Capital Expenditures</t>
        </is>
      </c>
      <c r="B117" s="10" t="n">
        <v>3222</v>
      </c>
      <c r="C117" s="10" t="n">
        <v>3230</v>
      </c>
      <c r="D117" s="10" t="n">
        <v>3238</v>
      </c>
      <c r="E117" s="10" t="n">
        <v>1228</v>
      </c>
      <c r="F117" s="10" t="n">
        <v>10918</v>
      </c>
      <c r="H117" s="10" t="n">
        <v>3231</v>
      </c>
      <c r="I117" s="10" t="n">
        <v>3239</v>
      </c>
      <c r="J117" s="10" t="n">
        <v>3247</v>
      </c>
      <c r="K117" s="10" t="n">
        <v>1236</v>
      </c>
      <c r="L117" s="10" t="n">
        <v>10953</v>
      </c>
      <c r="N117" s="10" t="n">
        <v>3240</v>
      </c>
      <c r="O117" s="10" t="n">
        <v>3248</v>
      </c>
      <c r="P117" s="10" t="n">
        <v>3256</v>
      </c>
      <c r="Q117" s="10" t="n">
        <v>1244</v>
      </c>
      <c r="R117" s="10" t="n">
        <v>10988</v>
      </c>
      <c r="T117" s="10" t="n">
        <v>3249</v>
      </c>
      <c r="U117" s="10" t="n">
        <v>3257</v>
      </c>
      <c r="V117" s="10" t="n">
        <v>3265</v>
      </c>
      <c r="W117" s="10" t="n">
        <v>1252</v>
      </c>
      <c r="X117" s="10" t="n">
        <v>11023</v>
      </c>
    </row>
    <row r="118">
      <c r="A118" s="3" t="inlineStr">
        <is>
          <t>Proceeds from Asset Sales</t>
        </is>
      </c>
    </row>
    <row r="119">
      <c r="A119" s="3" t="inlineStr">
        <is>
          <t>Acquisitions, Net of Cash Acquired</t>
        </is>
      </c>
    </row>
    <row r="120">
      <c r="A120" s="3" t="inlineStr">
        <is>
          <t>Purchases of Investments</t>
        </is>
      </c>
    </row>
    <row r="121">
      <c r="A121" s="3" t="inlineStr">
        <is>
          <t>Sales/Maturities of Investments</t>
        </is>
      </c>
    </row>
    <row r="122">
      <c r="A122" s="3" t="inlineStr">
        <is>
          <t>Other Investing Activities</t>
        </is>
      </c>
    </row>
    <row r="123">
      <c r="A123" s="11" t="inlineStr">
        <is>
          <t>Net Cash from Investing Activities</t>
        </is>
      </c>
    </row>
    <row r="124">
      <c r="A124" s="3" t="inlineStr">
        <is>
          <t>Proceeds from Debt Issuance</t>
        </is>
      </c>
    </row>
    <row r="125">
      <c r="A125" s="3" t="inlineStr">
        <is>
          <t>Repayments of Debt</t>
        </is>
      </c>
    </row>
    <row r="126">
      <c r="A126" s="3" t="inlineStr">
        <is>
          <t>Dividends Paid</t>
        </is>
      </c>
      <c r="B126" s="10" t="n">
        <v>2222</v>
      </c>
      <c r="C126" s="10" t="n">
        <v>2224</v>
      </c>
      <c r="D126" s="10" t="n">
        <v>2226</v>
      </c>
      <c r="E126" s="10" t="n">
        <v>207</v>
      </c>
      <c r="F126" s="10" t="n">
        <v>6879</v>
      </c>
      <c r="H126" s="10" t="n">
        <v>2225</v>
      </c>
      <c r="I126" s="10" t="n">
        <v>2227</v>
      </c>
      <c r="J126" s="10" t="n">
        <v>2229</v>
      </c>
      <c r="K126" s="10" t="n">
        <v>209</v>
      </c>
      <c r="L126" s="10" t="n">
        <v>6890</v>
      </c>
      <c r="N126" s="10" t="n">
        <v>2228</v>
      </c>
      <c r="O126" s="10" t="n">
        <v>2230</v>
      </c>
      <c r="P126" s="10" t="n">
        <v>2232</v>
      </c>
      <c r="Q126" s="10" t="n">
        <v>211</v>
      </c>
      <c r="R126" s="10" t="n">
        <v>6901</v>
      </c>
      <c r="T126" s="10" t="n">
        <v>2231</v>
      </c>
      <c r="U126" s="10" t="n">
        <v>2233</v>
      </c>
      <c r="V126" s="10" t="n">
        <v>2235</v>
      </c>
      <c r="W126" s="10" t="n">
        <v>213</v>
      </c>
      <c r="X126" s="10" t="n">
        <v>6912</v>
      </c>
    </row>
    <row r="127">
      <c r="A127" s="3" t="inlineStr">
        <is>
          <t>Share Repurchases</t>
        </is>
      </c>
      <c r="B127" s="10" t="n">
        <v>2322</v>
      </c>
      <c r="C127" s="10" t="n">
        <v>2325</v>
      </c>
      <c r="D127" s="10" t="n">
        <v>2328</v>
      </c>
      <c r="E127" s="10" t="n">
        <v>310.5</v>
      </c>
      <c r="F127" s="10" t="n">
        <v>7285.5</v>
      </c>
      <c r="H127" s="10" t="n">
        <v>2326</v>
      </c>
      <c r="I127" s="10" t="n">
        <v>2329</v>
      </c>
      <c r="J127" s="10" t="n">
        <v>2332</v>
      </c>
      <c r="K127" s="10" t="n">
        <v>313.5</v>
      </c>
      <c r="L127" s="10" t="n">
        <v>7300.5</v>
      </c>
      <c r="N127" s="10" t="n">
        <v>2330</v>
      </c>
      <c r="O127" s="10" t="n">
        <v>2333</v>
      </c>
      <c r="P127" s="10" t="n">
        <v>2336</v>
      </c>
      <c r="Q127" s="10" t="n">
        <v>316.5</v>
      </c>
      <c r="R127" s="10" t="n">
        <v>7315.5</v>
      </c>
      <c r="T127" s="10" t="n">
        <v>2334</v>
      </c>
      <c r="U127" s="10" t="n">
        <v>2337</v>
      </c>
      <c r="V127" s="10" t="n">
        <v>2340</v>
      </c>
      <c r="W127" s="10" t="n">
        <v>319.5</v>
      </c>
      <c r="X127" s="10" t="n">
        <v>7330.5</v>
      </c>
    </row>
    <row r="128">
      <c r="A128" s="3" t="inlineStr">
        <is>
          <t>Proceeds from Stock Issuance</t>
        </is>
      </c>
    </row>
    <row r="129">
      <c r="A129" s="3" t="inlineStr">
        <is>
          <t>Other Financing Activities</t>
        </is>
      </c>
    </row>
    <row r="130">
      <c r="A130" s="11" t="inlineStr">
        <is>
          <t>Net Cash from Financing Activities</t>
        </is>
      </c>
    </row>
    <row r="131">
      <c r="A131" s="3" t="inlineStr">
        <is>
          <t>Effect of Exchange Rate on Cash</t>
        </is>
      </c>
    </row>
    <row r="132">
      <c r="A132" s="11" t="inlineStr">
        <is>
          <t>Net Change in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2026-06-21T18:04:58Z</dcterms:created>
  <dcterms:modified xmlns:dcterms="http://purl.org/dc/terms/" xmlns:xsi="http://www.w3.org/2001/XMLSchema-instance" xsi:type="dcterms:W3CDTF">2026-06-21T18:04:58Z</dcterms:modified>
</cp:coreProperties>
</file>