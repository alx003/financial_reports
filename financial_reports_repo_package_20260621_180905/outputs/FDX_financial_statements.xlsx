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#,##0;(#,##0);&quot;-&quot;"/>
    <numFmt numFmtId="166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 Narrow"/>
      <b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FedEx Corporation (FDX)</t>
        </is>
      </c>
    </row>
    <row r="2">
      <c r="A2" s="2" t="inlineStr">
        <is>
          <t>STANDARD FINANCIAL STATEMENTS</t>
        </is>
      </c>
    </row>
    <row r="3">
      <c r="A3" s="3" t="inlineStr">
        <is>
          <t>Units: USD and shares in millions; EPS as reported  |  Source: SEC EDGAR XBRL (us-gaap), standard filings only</t>
        </is>
      </c>
    </row>
    <row r="5">
      <c r="A5" s="2" t="inlineStr">
        <is>
          <t>DASHBOARD</t>
        </is>
      </c>
    </row>
    <row r="6">
      <c r="A6" s="4" t="inlineStr">
        <is>
          <t>Trend analysis of last 16 quarters. Columns to the right of the latest reported quarter are intentionally left blank for future updates.</t>
        </is>
      </c>
    </row>
    <row r="8">
      <c r="A8" s="5" t="n"/>
      <c r="B8" s="6" t="inlineStr">
        <is>
          <t>Q4 2022</t>
        </is>
      </c>
      <c r="C8" s="6" t="inlineStr">
        <is>
          <t>Q1 2023</t>
        </is>
      </c>
      <c r="D8" s="6" t="inlineStr">
        <is>
          <t>Q2 2023</t>
        </is>
      </c>
      <c r="E8" s="6" t="inlineStr">
        <is>
          <t>Q3 2023</t>
        </is>
      </c>
      <c r="F8" s="6" t="inlineStr">
        <is>
          <t>Q4 2023</t>
        </is>
      </c>
      <c r="G8" s="6" t="inlineStr">
        <is>
          <t>Q1 2024</t>
        </is>
      </c>
      <c r="H8" s="6" t="inlineStr">
        <is>
          <t>Q2 2024</t>
        </is>
      </c>
      <c r="I8" s="6" t="inlineStr">
        <is>
          <t>Q3 2024</t>
        </is>
      </c>
      <c r="J8" s="6" t="inlineStr">
        <is>
          <t>Q4 2024</t>
        </is>
      </c>
      <c r="K8" s="6" t="inlineStr">
        <is>
          <t>Q1 2025</t>
        </is>
      </c>
      <c r="L8" s="6" t="inlineStr">
        <is>
          <t>Q2 2025</t>
        </is>
      </c>
      <c r="M8" s="6" t="inlineStr">
        <is>
          <t>Q3 2025</t>
        </is>
      </c>
      <c r="N8" s="6" t="inlineStr">
        <is>
          <t>Q4 2025</t>
        </is>
      </c>
      <c r="O8" s="6" t="inlineStr">
        <is>
          <t>Q1 2026</t>
        </is>
      </c>
      <c r="P8" s="6" t="inlineStr">
        <is>
          <t>Q2 2026</t>
        </is>
      </c>
      <c r="Q8" s="6" t="inlineStr">
        <is>
          <t>Q3 2026</t>
        </is>
      </c>
      <c r="R8" s="5" t="n"/>
      <c r="S8" s="5" t="n"/>
      <c r="T8" s="5" t="n"/>
      <c r="U8" s="5" t="n"/>
      <c r="W8" s="6" t="inlineStr">
        <is>
          <t>L10</t>
        </is>
      </c>
      <c r="X8" s="6" t="inlineStr">
        <is>
          <t>L5</t>
        </is>
      </c>
      <c r="Y8" s="6" t="inlineStr">
        <is>
          <t>L3</t>
        </is>
      </c>
    </row>
    <row r="9">
      <c r="A9" s="7" t="inlineStr">
        <is>
          <t>Sales Analysis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3" t="inlineStr">
        <is>
          <t>Revenue Δ, y/y</t>
        </is>
      </c>
      <c r="B10" s="9" t="n">
        <v>0.08105473077775316</v>
      </c>
      <c r="C10" s="9" t="n">
        <v>0.05631050311321184</v>
      </c>
      <c r="D10" s="9" t="n">
        <v>-0.02811621368322403</v>
      </c>
      <c r="E10" s="9" t="n">
        <v>-0.06226470961465247</v>
      </c>
      <c r="F10" s="9" t="n">
        <v>-0.1010084446995163</v>
      </c>
      <c r="G10" s="9" t="n">
        <v>-0.06716289475948711</v>
      </c>
      <c r="H10" s="9" t="n">
        <v>-0.02844744455159109</v>
      </c>
      <c r="I10" s="9" t="n">
        <v>-0.01944156254228879</v>
      </c>
      <c r="J10" s="9" t="n">
        <v>0.008162334701322438</v>
      </c>
      <c r="K10" s="9" t="n">
        <v>-0.00470458004704577</v>
      </c>
      <c r="L10" s="9" t="n">
        <v>-0.008933002481389618</v>
      </c>
      <c r="M10" s="9" t="n">
        <v>0.01941300947649283</v>
      </c>
      <c r="N10" s="9" t="n">
        <v>0.005020579854357887</v>
      </c>
      <c r="O10" s="9" t="n">
        <v>0.03081699800732185</v>
      </c>
      <c r="P10" s="9" t="n">
        <v>0.06837529020803923</v>
      </c>
      <c r="Q10" s="9" t="n">
        <v>0.08303249097472931</v>
      </c>
      <c r="W10" s="9">
        <f>IFERROR(AVERAGE(H10:Q10),"")</f>
        <v/>
      </c>
      <c r="X10" s="9">
        <f>IFERROR(AVERAGE(M10:Q10),"")</f>
        <v/>
      </c>
      <c r="Y10" s="9">
        <f>IFERROR(AVERAGE(O10:Q10),"")</f>
        <v/>
      </c>
    </row>
    <row r="12">
      <c r="A12" s="7" t="inlineStr">
        <is>
          <t>Income Statement Analysis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3" t="inlineStr">
        <is>
          <t>Operating margin</t>
        </is>
      </c>
      <c r="B13" s="9" t="n">
        <v>0.07887185373452488</v>
      </c>
      <c r="C13" s="9" t="n">
        <v>0.0512434386025299</v>
      </c>
      <c r="D13" s="9" t="n">
        <v>0.05154729552029456</v>
      </c>
      <c r="E13" s="9" t="n">
        <v>0.04700257115792322</v>
      </c>
      <c r="F13" s="9" t="n">
        <v>0.06853625170998633</v>
      </c>
      <c r="G13" s="9" t="n">
        <v>0.0684931506849315</v>
      </c>
      <c r="H13" s="9" t="n">
        <v>0.05756823821339951</v>
      </c>
      <c r="I13" s="9" t="n">
        <v>0.05718097341061735</v>
      </c>
      <c r="J13" s="9" t="n">
        <v>0.07033334841014971</v>
      </c>
      <c r="K13" s="9" t="n">
        <v>0.0500486584179063</v>
      </c>
      <c r="L13" s="9" t="n">
        <v>0.04789001684344699</v>
      </c>
      <c r="M13" s="9" t="n">
        <v>0.05830324909747293</v>
      </c>
      <c r="N13" s="9" t="n">
        <v>0.0806930693069307</v>
      </c>
      <c r="O13" s="9" t="n">
        <v>0.05331774860636576</v>
      </c>
      <c r="P13" s="9" t="n">
        <v>0.05871575269504452</v>
      </c>
      <c r="Q13" s="9" t="n">
        <v>0.05616666666666666</v>
      </c>
      <c r="W13" s="9">
        <f>IFERROR(AVERAGE(H13:Q13),"")</f>
        <v/>
      </c>
      <c r="X13" s="9">
        <f>IFERROR(AVERAGE(M13:Q13),"")</f>
        <v/>
      </c>
      <c r="Y13" s="9">
        <f>IFERROR(AVERAGE(O13:Q13),"")</f>
        <v/>
      </c>
    </row>
    <row r="14">
      <c r="A14" s="3" t="inlineStr">
        <is>
          <t>Net margin</t>
        </is>
      </c>
      <c r="B14" s="9" t="n">
        <v>0.0228744773304911</v>
      </c>
      <c r="C14" s="9" t="n">
        <v>0.03764736253334481</v>
      </c>
      <c r="D14" s="9" t="n">
        <v>0.03454019461734023</v>
      </c>
      <c r="E14" s="9" t="n">
        <v>0.03477829401416392</v>
      </c>
      <c r="F14" s="9" t="n">
        <v>0.07013223894208846</v>
      </c>
      <c r="G14" s="9" t="n">
        <v>0.04972095383054287</v>
      </c>
      <c r="H14" s="9" t="n">
        <v>0.040604556733589</v>
      </c>
      <c r="I14" s="9" t="n">
        <v>0.04043610267733922</v>
      </c>
      <c r="J14" s="9" t="n">
        <v>0.06666968202994256</v>
      </c>
      <c r="K14" s="9" t="n">
        <v>0.03679503220723852</v>
      </c>
      <c r="L14" s="9" t="n">
        <v>0.03373241680702872</v>
      </c>
      <c r="M14" s="9" t="n">
        <v>0.04101985559566787</v>
      </c>
      <c r="N14" s="9" t="n">
        <v>0.07416741674167417</v>
      </c>
      <c r="O14" s="9" t="n">
        <v>0.03704369717676677</v>
      </c>
      <c r="P14" s="9" t="n">
        <v>0.04073458604968256</v>
      </c>
      <c r="Q14" s="9" t="n">
        <v>0.044</v>
      </c>
      <c r="W14" s="9">
        <f>IFERROR(AVERAGE(H14:Q14),"")</f>
        <v/>
      </c>
      <c r="X14" s="9">
        <f>IFERROR(AVERAGE(M14:Q14),"")</f>
        <v/>
      </c>
      <c r="Y14" s="9">
        <f>IFERROR(AVERAGE(O14:Q14),"")</f>
        <v/>
      </c>
    </row>
    <row r="15">
      <c r="A15" s="3" t="inlineStr">
        <is>
          <t>SG&amp;A / revenue</t>
        </is>
      </c>
    </row>
    <row r="17">
      <c r="A17" s="7" t="inlineStr">
        <is>
          <t>Earnings Quality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3" t="inlineStr">
        <is>
          <t>Adj. EPS Δ, y/y</t>
        </is>
      </c>
      <c r="B18" s="9" t="n">
        <v>-0.6869565217391304</v>
      </c>
      <c r="C18" s="9" t="n">
        <v>-0.1858190709046454</v>
      </c>
      <c r="D18" s="9" t="n">
        <v>-0.2087628865979382</v>
      </c>
      <c r="E18" s="9" t="n">
        <v>-0.2738095238095238</v>
      </c>
      <c r="F18" s="9" t="n">
        <v>1.787037037037037</v>
      </c>
      <c r="G18" s="9" t="n">
        <v>0.2702702702702704</v>
      </c>
      <c r="H18" s="9" t="n">
        <v>0.1563517915309447</v>
      </c>
      <c r="I18" s="9" t="n">
        <v>0.1508196721311474</v>
      </c>
      <c r="J18" s="9" t="n">
        <v>-0.01993355481727566</v>
      </c>
      <c r="K18" s="9" t="n">
        <v>-0.2411347517730498</v>
      </c>
      <c r="L18" s="9" t="n">
        <v>-0.1464788732394366</v>
      </c>
      <c r="M18" s="9" t="n">
        <v>0.07122507122507127</v>
      </c>
      <c r="N18" s="9" t="n">
        <v>0.1559322033898303</v>
      </c>
      <c r="O18" s="9" t="n">
        <v>0.0778816199376946</v>
      </c>
      <c r="P18" s="9" t="n">
        <v>0.3333333333333335</v>
      </c>
      <c r="Q18" s="9" t="n">
        <v>0.1728723404255321</v>
      </c>
      <c r="W18" s="9">
        <f>IFERROR(AVERAGE(H18:Q18),"")</f>
        <v/>
      </c>
      <c r="X18" s="9">
        <f>IFERROR(AVERAGE(M18:Q18),"")</f>
        <v/>
      </c>
      <c r="Y18" s="9">
        <f>IFERROR(AVERAGE(O18:Q18),"")</f>
        <v/>
      </c>
    </row>
    <row r="19">
      <c r="A19" s="3" t="inlineStr">
        <is>
          <t>FCF / % Net Income</t>
        </is>
      </c>
      <c r="B19" s="9" t="n">
        <v>2.003584229390681</v>
      </c>
      <c r="C19" s="9" t="n">
        <v>0.3691428571428572</v>
      </c>
      <c r="D19" s="9" t="n">
        <v>-0.4314720812182741</v>
      </c>
      <c r="E19" s="9" t="n">
        <v>1.294422827496758</v>
      </c>
      <c r="F19" s="9" t="n">
        <v>1.100780234070221</v>
      </c>
      <c r="G19" s="9" t="n">
        <v>0.8719851576994434</v>
      </c>
      <c r="H19" s="9" t="n">
        <v>0.5211111111111111</v>
      </c>
      <c r="I19" s="9" t="n">
        <v>0.2627986348122867</v>
      </c>
      <c r="J19" s="9" t="n">
        <v>1.014925373134328</v>
      </c>
      <c r="K19" s="9" t="n">
        <v>0.5289672544080605</v>
      </c>
      <c r="L19" s="9" t="n">
        <v>0.6747638326585695</v>
      </c>
      <c r="M19" s="9" t="n">
        <v>1.116611661166117</v>
      </c>
      <c r="N19" s="9" t="n">
        <v>0.6347087378640777</v>
      </c>
      <c r="O19" s="9" t="n">
        <v>1.326456310679612</v>
      </c>
      <c r="P19" s="9" t="n">
        <v>1.248953974895398</v>
      </c>
      <c r="Q19" s="9" t="n">
        <v>0.9829545454545454</v>
      </c>
      <c r="W19" s="9">
        <f>IFERROR(AVERAGE(H19:Q19),"")</f>
        <v/>
      </c>
      <c r="X19" s="9">
        <f>IFERROR(AVERAGE(M19:Q19),"")</f>
        <v/>
      </c>
      <c r="Y19" s="9">
        <f>IFERROR(AVERAGE(O19:Q19),"")</f>
        <v/>
      </c>
    </row>
    <row r="21">
      <c r="A21" s="7" t="inlineStr">
        <is>
          <t>Financial Strength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3" t="inlineStr">
        <is>
          <t>Current ratio</t>
        </is>
      </c>
      <c r="B22" s="10" t="n">
        <v>1.426719910326468</v>
      </c>
      <c r="C22" s="10" t="n">
        <v>1.424337086814384</v>
      </c>
      <c r="D22" s="10" t="n">
        <v>1.297599544127075</v>
      </c>
      <c r="E22" s="10" t="n">
        <v>1.321354933726068</v>
      </c>
      <c r="F22" s="10" t="n">
        <v>1.36979243338731</v>
      </c>
      <c r="G22" s="10" t="n">
        <v>1.367533125769314</v>
      </c>
      <c r="H22" s="10" t="n">
        <v>1.341732172936553</v>
      </c>
      <c r="I22" s="10" t="n">
        <v>1.309287646528404</v>
      </c>
      <c r="J22" s="10" t="n">
        <v>1.36330962186447</v>
      </c>
      <c r="K22" s="10" t="n">
        <v>1.28226206505563</v>
      </c>
      <c r="L22" s="10" t="n">
        <v>1.231309060589216</v>
      </c>
      <c r="M22" s="10" t="n">
        <v>1.238773747841105</v>
      </c>
      <c r="N22" s="10" t="n">
        <v>1.193043929660632</v>
      </c>
      <c r="O22" s="10" t="n">
        <v>1.246070600360732</v>
      </c>
      <c r="P22" s="10" t="n">
        <v>1.273775749352412</v>
      </c>
      <c r="Q22" s="10" t="n">
        <v>1.473766414068375</v>
      </c>
      <c r="W22" s="10">
        <f>IFERROR(AVERAGE(H22:Q22),"")</f>
        <v/>
      </c>
      <c r="X22" s="10">
        <f>IFERROR(AVERAGE(M22:Q22),"")</f>
        <v/>
      </c>
      <c r="Y22" s="10">
        <f>IFERROR(AVERAGE(O22:Q22),"")</f>
        <v/>
      </c>
    </row>
    <row r="23">
      <c r="A23" s="3" t="inlineStr">
        <is>
          <t>Net debt / total assets</t>
        </is>
      </c>
      <c r="B23" s="9" t="n">
        <v>-0.08020326999558108</v>
      </c>
      <c r="C23" s="9" t="n">
        <v>-0.07981264418707618</v>
      </c>
      <c r="D23" s="9" t="n">
        <v>-0.05428140809197229</v>
      </c>
      <c r="E23" s="9" t="n">
        <v>-0.06264062955406587</v>
      </c>
      <c r="F23" s="9" t="n">
        <v>-0.07867528086019532</v>
      </c>
      <c r="G23" s="9" t="n">
        <v>-0.08055860052982552</v>
      </c>
      <c r="H23" s="9" t="n">
        <v>-0.07642161928882125</v>
      </c>
      <c r="I23" s="9" t="n">
        <v>-0.06554102701070674</v>
      </c>
      <c r="J23" s="9" t="n">
        <v>-0.07471812612778282</v>
      </c>
      <c r="K23" s="9" t="n">
        <v>-0.06853801709125716</v>
      </c>
      <c r="L23" s="9" t="n">
        <v>-0.05883178718077701</v>
      </c>
      <c r="M23" s="9" t="n">
        <v>-0.0603812189127853</v>
      </c>
      <c r="N23" s="9" t="n">
        <v>-0.06278886644527372</v>
      </c>
      <c r="O23" s="9" t="n">
        <v>-0.06973850886717337</v>
      </c>
      <c r="P23" s="9" t="n">
        <v>-0.07367040064587749</v>
      </c>
      <c r="Q23" s="9" t="n">
        <v>-0.08453231714397307</v>
      </c>
      <c r="W23" s="9">
        <f>IFERROR(AVERAGE(H23:Q23),"")</f>
        <v/>
      </c>
      <c r="X23" s="9">
        <f>IFERROR(AVERAGE(M23:Q23),"")</f>
        <v/>
      </c>
      <c r="Y23" s="9">
        <f>IFERROR(AVERAGE(O23:Q23),"")</f>
        <v/>
      </c>
    </row>
    <row r="25">
      <c r="A25" s="7" t="inlineStr">
        <is>
          <t>Cash Generation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3" t="inlineStr">
        <is>
          <t>OCF / revenue</t>
        </is>
      </c>
      <c r="B26" s="9" t="n">
        <v>0.1435598917766664</v>
      </c>
      <c r="C26" s="9" t="n">
        <v>0.06914207038981154</v>
      </c>
      <c r="D26" s="9" t="n">
        <v>0.06653809064609451</v>
      </c>
      <c r="E26" s="9" t="n">
        <v>0.1026658847940818</v>
      </c>
      <c r="F26" s="9" t="n">
        <v>0.1571819425444596</v>
      </c>
      <c r="G26" s="9" t="n">
        <v>0.1028550343618837</v>
      </c>
      <c r="H26" s="9" t="n">
        <v>0.08003609293931875</v>
      </c>
      <c r="I26" s="9" t="n">
        <v>0.07406385132026866</v>
      </c>
      <c r="J26" s="9" t="n">
        <v>0.1220317517752951</v>
      </c>
      <c r="K26" s="9" t="n">
        <v>0.05500718290930998</v>
      </c>
      <c r="L26" s="9" t="n">
        <v>0.05999908954340602</v>
      </c>
      <c r="M26" s="9" t="n">
        <v>0.0907942238267148</v>
      </c>
      <c r="N26" s="9" t="n">
        <v>0.1133663366336634</v>
      </c>
      <c r="O26" s="9" t="n">
        <v>0.07714439848948031</v>
      </c>
      <c r="P26" s="9" t="n">
        <v>0.08313093868507393</v>
      </c>
      <c r="Q26" s="9" t="n">
        <v>0.08304166666666667</v>
      </c>
      <c r="W26" s="9">
        <f>IFERROR(AVERAGE(H26:Q26),"")</f>
        <v/>
      </c>
      <c r="X26" s="9">
        <f>IFERROR(AVERAGE(M26:Q26),"")</f>
        <v/>
      </c>
      <c r="Y26" s="9">
        <f>IFERROR(AVERAGE(O26:Q26),"")</f>
        <v/>
      </c>
    </row>
    <row r="27">
      <c r="A27" s="3" t="inlineStr">
        <is>
          <t>FCF / revenue</t>
        </is>
      </c>
      <c r="B27" s="9" t="n">
        <v>0.04583094203492662</v>
      </c>
      <c r="C27" s="9" t="n">
        <v>0.01389725496945186</v>
      </c>
      <c r="D27" s="9" t="n">
        <v>-0.01490312965722802</v>
      </c>
      <c r="E27" s="9" t="n">
        <v>0.04501781767332762</v>
      </c>
      <c r="F27" s="9" t="n">
        <v>0.07720018239854082</v>
      </c>
      <c r="G27" s="9" t="n">
        <v>0.04335593376689267</v>
      </c>
      <c r="H27" s="9" t="n">
        <v>0.02115948567561471</v>
      </c>
      <c r="I27" s="9" t="n">
        <v>0.0106265525807342</v>
      </c>
      <c r="J27" s="9" t="n">
        <v>0.06766475191098648</v>
      </c>
      <c r="K27" s="9" t="n">
        <v>0.01946336716251912</v>
      </c>
      <c r="L27" s="9" t="n">
        <v>0.02276141484954705</v>
      </c>
      <c r="M27" s="9" t="n">
        <v>0.04580324909747292</v>
      </c>
      <c r="N27" s="9" t="n">
        <v>0.04707470747074707</v>
      </c>
      <c r="O27" s="9" t="n">
        <v>0.04913684589102679</v>
      </c>
      <c r="P27" s="9" t="n">
        <v>0.05087562316246964</v>
      </c>
      <c r="Q27" s="9" t="n">
        <v>0.04325</v>
      </c>
      <c r="W27" s="9">
        <f>IFERROR(AVERAGE(H27:Q27),"")</f>
        <v/>
      </c>
      <c r="X27" s="9">
        <f>IFERROR(AVERAGE(M27:Q27),"")</f>
        <v/>
      </c>
      <c r="Y27" s="9">
        <f>IFERROR(AVERAGE(O27:Q27),"")</f>
        <v/>
      </c>
    </row>
    <row r="29">
      <c r="A29" s="7" t="inlineStr">
        <is>
          <t>Cash Deployment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3" t="inlineStr">
        <is>
          <t>Capital expenditures</t>
        </is>
      </c>
      <c r="B30" s="10" t="n">
        <v>-2384</v>
      </c>
      <c r="C30" s="10" t="n">
        <v>-1284</v>
      </c>
      <c r="D30" s="10" t="n">
        <v>-1858</v>
      </c>
      <c r="E30" s="10" t="n">
        <v>-1278</v>
      </c>
      <c r="F30" s="10" t="n">
        <v>-1754</v>
      </c>
      <c r="G30" s="10" t="n">
        <v>-1290</v>
      </c>
      <c r="H30" s="10" t="n">
        <v>-1305</v>
      </c>
      <c r="I30" s="10" t="n">
        <v>-1379</v>
      </c>
      <c r="J30" s="10" t="n">
        <v>-1202</v>
      </c>
      <c r="K30" s="10" t="n">
        <v>-767</v>
      </c>
      <c r="L30" s="10" t="n">
        <v>-818</v>
      </c>
      <c r="M30" s="10" t="n">
        <v>-997</v>
      </c>
      <c r="N30" s="10" t="n">
        <v>-1473</v>
      </c>
      <c r="O30" s="10" t="n">
        <v>-623</v>
      </c>
      <c r="P30" s="10" t="n">
        <v>-757</v>
      </c>
      <c r="Q30" s="10" t="n">
        <v>-955</v>
      </c>
      <c r="W30" s="10">
        <f>IFERROR(AVERAGE(H30:Q30),"")</f>
        <v/>
      </c>
      <c r="X30" s="10">
        <f>IFERROR(AVERAGE(M30:Q30),"")</f>
        <v/>
      </c>
      <c r="Y30" s="10">
        <f>IFERROR(AVERAGE(O30:Q30),"")</f>
        <v/>
      </c>
    </row>
    <row r="31">
      <c r="A31" s="3" t="inlineStr">
        <is>
          <t>Dividends paid</t>
        </is>
      </c>
      <c r="B31" s="10" t="n">
        <v>-195</v>
      </c>
      <c r="C31" s="10" t="n">
        <v>-299</v>
      </c>
      <c r="D31" s="10" t="n">
        <v>-299</v>
      </c>
      <c r="E31" s="10" t="n">
        <v>-290</v>
      </c>
      <c r="F31" s="10" t="n">
        <v>-289</v>
      </c>
      <c r="G31" s="10" t="n">
        <v>-318</v>
      </c>
      <c r="H31" s="10" t="n">
        <v>-317</v>
      </c>
      <c r="I31" s="10" t="n">
        <v>-314</v>
      </c>
      <c r="J31" s="10" t="n">
        <v>-310</v>
      </c>
      <c r="K31" s="10" t="n">
        <v>-339</v>
      </c>
      <c r="L31" s="10" t="n">
        <v>-337</v>
      </c>
      <c r="M31" s="10" t="n">
        <v>-332</v>
      </c>
      <c r="N31" s="10" t="n">
        <v>-331</v>
      </c>
      <c r="O31" s="10" t="n">
        <v>-345</v>
      </c>
      <c r="P31" s="10" t="n">
        <v>-342</v>
      </c>
      <c r="Q31" s="10" t="n">
        <v>-341</v>
      </c>
      <c r="W31" s="10">
        <f>IFERROR(AVERAGE(H31:Q31),"")</f>
        <v/>
      </c>
      <c r="X31" s="10">
        <f>IFERROR(AVERAGE(M31:Q31),"")</f>
        <v/>
      </c>
      <c r="Y31" s="10">
        <f>IFERROR(AVERAGE(O31:Q31),"")</f>
        <v/>
      </c>
    </row>
    <row r="32">
      <c r="A32" s="3" t="inlineStr">
        <is>
          <t>Share repurchases</t>
        </is>
      </c>
      <c r="B32" s="10" t="n">
        <v>-0</v>
      </c>
      <c r="C32" s="10" t="n">
        <v>-0</v>
      </c>
      <c r="D32" s="10" t="n">
        <v>-1500</v>
      </c>
      <c r="E32" s="10" t="n">
        <v>-0</v>
      </c>
      <c r="F32" s="10" t="n">
        <v>-0</v>
      </c>
      <c r="G32" s="10" t="n">
        <v>-500</v>
      </c>
      <c r="H32" s="10" t="n">
        <v>-500</v>
      </c>
      <c r="I32" s="10" t="n">
        <v>-1000</v>
      </c>
      <c r="J32" s="10" t="n">
        <v>-500</v>
      </c>
      <c r="K32" s="10" t="n">
        <v>-1000</v>
      </c>
      <c r="L32" s="10" t="n">
        <v>-1020</v>
      </c>
      <c r="M32" s="10" t="n">
        <v>-497</v>
      </c>
      <c r="N32" s="10" t="n">
        <v>-500</v>
      </c>
      <c r="O32" s="10" t="n">
        <v>-500</v>
      </c>
      <c r="P32" s="10" t="n">
        <v>-296</v>
      </c>
      <c r="Q32" s="10" t="n">
        <v>-0</v>
      </c>
      <c r="W32" s="10">
        <f>IFERROR(AVERAGE(H32:Q32),"")</f>
        <v/>
      </c>
      <c r="X32" s="10">
        <f>IFERROR(AVERAGE(M32:Q32),"")</f>
        <v/>
      </c>
      <c r="Y32" s="10">
        <f>IFERROR(AVERAGE(O32:Q32),"")</f>
        <v/>
      </c>
    </row>
    <row r="35">
      <c r="A35" s="2" t="inlineStr">
        <is>
          <t>INCOME STATEMENT</t>
        </is>
      </c>
    </row>
    <row r="36">
      <c r="A36" s="5" t="n"/>
      <c r="B36" s="6" t="n"/>
      <c r="C36" s="6" t="n">
        <v>2021</v>
      </c>
      <c r="D36" s="6" t="n"/>
      <c r="E36" s="6" t="n"/>
      <c r="F36" s="6" t="n"/>
      <c r="G36" s="6" t="n"/>
      <c r="H36" s="6" t="n"/>
      <c r="I36" s="6" t="n">
        <v>2022</v>
      </c>
      <c r="J36" s="6" t="n"/>
      <c r="K36" s="6" t="n"/>
      <c r="L36" s="6" t="n"/>
      <c r="M36" s="6" t="n"/>
      <c r="N36" s="6" t="n"/>
      <c r="O36" s="6" t="n">
        <v>2023</v>
      </c>
      <c r="P36" s="6" t="n"/>
      <c r="Q36" s="6" t="n"/>
      <c r="R36" s="6" t="n"/>
      <c r="S36" s="6" t="n"/>
      <c r="T36" s="6" t="n"/>
      <c r="U36" s="6" t="n">
        <v>2024</v>
      </c>
      <c r="V36" s="6" t="n"/>
      <c r="W36" s="6" t="n"/>
      <c r="X36" s="6" t="n"/>
      <c r="Y36" s="6" t="n"/>
      <c r="Z36" s="6" t="n"/>
      <c r="AA36" s="6" t="n">
        <v>2025</v>
      </c>
      <c r="AB36" s="6" t="n"/>
      <c r="AC36" s="6" t="n"/>
      <c r="AD36" s="6" t="n"/>
      <c r="AE36" s="6" t="n"/>
      <c r="AF36" s="6" t="n"/>
    </row>
    <row r="37">
      <c r="A37" s="5" t="n"/>
      <c r="B37" s="6" t="inlineStr">
        <is>
          <t>Q4</t>
        </is>
      </c>
      <c r="C37" s="6" t="inlineStr">
        <is>
          <t>2021</t>
        </is>
      </c>
      <c r="D37" s="6" t="n"/>
      <c r="E37" s="6" t="inlineStr">
        <is>
          <t>Q1</t>
        </is>
      </c>
      <c r="F37" s="6" t="inlineStr">
        <is>
          <t>Q2</t>
        </is>
      </c>
      <c r="G37" s="6" t="inlineStr">
        <is>
          <t>Q3</t>
        </is>
      </c>
      <c r="H37" s="6" t="inlineStr">
        <is>
          <t>Q4</t>
        </is>
      </c>
      <c r="I37" s="6" t="inlineStr">
        <is>
          <t>2022</t>
        </is>
      </c>
      <c r="J37" s="6" t="n"/>
      <c r="K37" s="6" t="inlineStr">
        <is>
          <t>Q1</t>
        </is>
      </c>
      <c r="L37" s="6" t="inlineStr">
        <is>
          <t>Q2</t>
        </is>
      </c>
      <c r="M37" s="6" t="inlineStr">
        <is>
          <t>Q3</t>
        </is>
      </c>
      <c r="N37" s="6" t="inlineStr">
        <is>
          <t>Q4</t>
        </is>
      </c>
      <c r="O37" s="6" t="inlineStr">
        <is>
          <t>2023</t>
        </is>
      </c>
      <c r="P37" s="6" t="n"/>
      <c r="Q37" s="6" t="inlineStr">
        <is>
          <t>Q1</t>
        </is>
      </c>
      <c r="R37" s="6" t="inlineStr">
        <is>
          <t>Q2</t>
        </is>
      </c>
      <c r="S37" s="6" t="inlineStr">
        <is>
          <t>Q3</t>
        </is>
      </c>
      <c r="T37" s="6" t="inlineStr">
        <is>
          <t>Q4</t>
        </is>
      </c>
      <c r="U37" s="6" t="inlineStr">
        <is>
          <t>2024</t>
        </is>
      </c>
      <c r="V37" s="6" t="n"/>
      <c r="W37" s="6" t="inlineStr">
        <is>
          <t>Q1</t>
        </is>
      </c>
      <c r="X37" s="6" t="inlineStr">
        <is>
          <t>Q2</t>
        </is>
      </c>
      <c r="Y37" s="6" t="inlineStr">
        <is>
          <t>Q3</t>
        </is>
      </c>
      <c r="Z37" s="6" t="inlineStr">
        <is>
          <t>Q4</t>
        </is>
      </c>
      <c r="AA37" s="6" t="inlineStr">
        <is>
          <t>2025</t>
        </is>
      </c>
      <c r="AB37" s="6" t="n"/>
      <c r="AC37" s="6" t="inlineStr">
        <is>
          <t>Q1</t>
        </is>
      </c>
      <c r="AD37" s="6" t="inlineStr">
        <is>
          <t>Q2</t>
        </is>
      </c>
      <c r="AE37" s="6" t="inlineStr">
        <is>
          <t>Q3</t>
        </is>
      </c>
      <c r="AF37" s="6" t="n"/>
    </row>
    <row r="38">
      <c r="A38" s="3" t="inlineStr">
        <is>
          <t>Revenue</t>
        </is>
      </c>
      <c r="B38" s="10" t="n">
        <v>22565</v>
      </c>
      <c r="C38" s="10" t="n">
        <v>83959</v>
      </c>
      <c r="E38" s="10" t="n">
        <v>22003</v>
      </c>
      <c r="F38" s="10" t="n">
        <v>23474</v>
      </c>
      <c r="G38" s="10" t="n">
        <v>23641</v>
      </c>
      <c r="H38" s="10" t="n">
        <v>24394</v>
      </c>
      <c r="I38" s="10" t="n">
        <v>93512</v>
      </c>
      <c r="K38" s="10" t="n">
        <v>23242</v>
      </c>
      <c r="L38" s="10" t="n">
        <v>22814</v>
      </c>
      <c r="M38" s="10" t="n">
        <v>22169</v>
      </c>
      <c r="N38" s="10" t="n">
        <v>21930</v>
      </c>
      <c r="O38" s="10" t="n">
        <v>90155</v>
      </c>
      <c r="Q38" s="10" t="n">
        <v>21681</v>
      </c>
      <c r="R38" s="10" t="n">
        <v>22165</v>
      </c>
      <c r="S38" s="10" t="n">
        <v>21738</v>
      </c>
      <c r="T38" s="10" t="n">
        <v>22109</v>
      </c>
      <c r="U38" s="10" t="n">
        <v>87693</v>
      </c>
      <c r="W38" s="10" t="n">
        <v>21579</v>
      </c>
      <c r="X38" s="10" t="n">
        <v>21967</v>
      </c>
      <c r="Y38" s="10" t="n">
        <v>22160</v>
      </c>
      <c r="Z38" s="10" t="n">
        <v>22220</v>
      </c>
      <c r="AA38" s="10" t="n">
        <v>87926</v>
      </c>
      <c r="AC38" s="10" t="n">
        <v>22244</v>
      </c>
      <c r="AD38" s="10" t="n">
        <v>23469</v>
      </c>
      <c r="AE38" s="10" t="n">
        <v>24000</v>
      </c>
    </row>
    <row r="39">
      <c r="A39" s="3" t="inlineStr">
        <is>
          <t>Cost of Revenue / Operating Expenses</t>
        </is>
      </c>
      <c r="B39" s="10" t="n">
        <v>20768</v>
      </c>
      <c r="C39" s="10" t="n">
        <v>78102</v>
      </c>
      <c r="E39" s="10" t="n">
        <v>20605</v>
      </c>
      <c r="F39" s="10" t="n">
        <v>21877</v>
      </c>
      <c r="G39" s="10" t="n">
        <v>22315</v>
      </c>
      <c r="H39" s="10" t="n">
        <v>22470</v>
      </c>
      <c r="I39" s="10" t="n">
        <v>87267</v>
      </c>
      <c r="K39" s="10" t="n">
        <v>22051</v>
      </c>
      <c r="L39" s="10" t="n">
        <v>21638</v>
      </c>
      <c r="M39" s="10" t="n">
        <v>21127</v>
      </c>
      <c r="N39" s="10" t="n">
        <v>20427</v>
      </c>
      <c r="O39" s="10" t="n">
        <v>85243</v>
      </c>
      <c r="Q39" s="10" t="n">
        <v>20196</v>
      </c>
      <c r="R39" s="10" t="n">
        <v>20889</v>
      </c>
      <c r="S39" s="10" t="n">
        <v>20495</v>
      </c>
      <c r="T39" s="10" t="n">
        <v>20554</v>
      </c>
      <c r="U39" s="10" t="n">
        <v>82134</v>
      </c>
      <c r="W39" s="10" t="n">
        <v>20499</v>
      </c>
      <c r="X39" s="10" t="n">
        <v>20915</v>
      </c>
      <c r="Y39" s="10" t="n">
        <v>20868</v>
      </c>
      <c r="Z39" s="10" t="n">
        <v>20427</v>
      </c>
      <c r="AA39" s="10" t="n">
        <v>82709</v>
      </c>
      <c r="AC39" s="10" t="n">
        <v>21058</v>
      </c>
      <c r="AD39" s="10" t="n">
        <v>22091</v>
      </c>
      <c r="AE39" s="10" t="n">
        <v>22652</v>
      </c>
    </row>
    <row r="40">
      <c r="A40" s="3" t="inlineStr">
        <is>
          <t xml:space="preserve">    Salaries, Wages &amp; Benefits</t>
        </is>
      </c>
      <c r="B40" s="10" t="n">
        <v>7868</v>
      </c>
      <c r="C40" s="10" t="n">
        <v>30173</v>
      </c>
      <c r="E40" s="10" t="n">
        <v>7776</v>
      </c>
      <c r="F40" s="10" t="n">
        <v>8135</v>
      </c>
      <c r="G40" s="10" t="n">
        <v>8244</v>
      </c>
      <c r="H40" s="10" t="n">
        <v>7903</v>
      </c>
      <c r="I40" s="10" t="n">
        <v>32058</v>
      </c>
      <c r="K40" s="10" t="n">
        <v>7859</v>
      </c>
      <c r="L40" s="10" t="n">
        <v>7792</v>
      </c>
      <c r="M40" s="10" t="n">
        <v>7817</v>
      </c>
      <c r="N40" s="10" t="n">
        <v>7551</v>
      </c>
      <c r="O40" s="10" t="n">
        <v>31019</v>
      </c>
      <c r="Q40" s="10" t="n">
        <v>7785</v>
      </c>
      <c r="R40" s="10" t="n">
        <v>7833</v>
      </c>
      <c r="S40" s="10" t="n">
        <v>7693</v>
      </c>
      <c r="T40" s="10" t="n">
        <v>7650</v>
      </c>
      <c r="U40" s="10" t="n">
        <v>30961</v>
      </c>
      <c r="W40" s="10" t="n">
        <v>7785</v>
      </c>
      <c r="X40" s="10" t="n">
        <v>7879</v>
      </c>
      <c r="Y40" s="10" t="n">
        <v>7879</v>
      </c>
      <c r="Z40" s="10" t="n">
        <v>7689</v>
      </c>
      <c r="AA40" s="10" t="n">
        <v>31232</v>
      </c>
      <c r="AC40" s="10" t="n">
        <v>8062</v>
      </c>
      <c r="AD40" s="10" t="n">
        <v>8395</v>
      </c>
      <c r="AE40" s="10" t="n">
        <v>8819</v>
      </c>
    </row>
    <row r="41">
      <c r="A41" s="3" t="inlineStr">
        <is>
          <t xml:space="preserve">    Purchased Transportation</t>
        </is>
      </c>
    </row>
    <row r="42">
      <c r="A42" s="3" t="inlineStr">
        <is>
          <t xml:space="preserve">    Depreciation &amp; Amortization</t>
        </is>
      </c>
      <c r="B42" s="10" t="n">
        <v>975</v>
      </c>
      <c r="C42" s="10" t="n">
        <v>3793</v>
      </c>
      <c r="E42" s="10" t="n">
        <v>971</v>
      </c>
      <c r="F42" s="10" t="n">
        <v>995</v>
      </c>
      <c r="G42" s="10" t="n">
        <v>986</v>
      </c>
      <c r="H42" s="10" t="n">
        <v>1018</v>
      </c>
      <c r="I42" s="10" t="n">
        <v>3970</v>
      </c>
      <c r="K42" s="10" t="n">
        <v>1024</v>
      </c>
      <c r="L42" s="10" t="n">
        <v>1046</v>
      </c>
      <c r="M42" s="10" t="n">
        <v>1031</v>
      </c>
      <c r="N42" s="10" t="n">
        <v>1075</v>
      </c>
      <c r="O42" s="10" t="n">
        <v>4176</v>
      </c>
      <c r="Q42" s="10" t="n">
        <v>1071</v>
      </c>
      <c r="R42" s="10" t="n">
        <v>1040</v>
      </c>
      <c r="S42" s="10" t="n">
        <v>1072</v>
      </c>
      <c r="T42" s="10" t="n">
        <v>1104</v>
      </c>
      <c r="U42" s="10" t="n">
        <v>4287</v>
      </c>
      <c r="W42" s="10" t="n">
        <v>1078</v>
      </c>
      <c r="X42" s="10" t="n">
        <v>1063</v>
      </c>
      <c r="Y42" s="10" t="n">
        <v>1066</v>
      </c>
      <c r="Z42" s="10" t="n">
        <v>1057</v>
      </c>
      <c r="AA42" s="10" t="n">
        <v>4264</v>
      </c>
      <c r="AC42" s="10" t="n">
        <v>1092</v>
      </c>
      <c r="AD42" s="10" t="n">
        <v>1068</v>
      </c>
      <c r="AE42" s="10" t="n">
        <v>1112</v>
      </c>
    </row>
    <row r="43">
      <c r="A43" s="3" t="inlineStr">
        <is>
          <t xml:space="preserve">    Fuel</t>
        </is>
      </c>
      <c r="B43" s="10" t="n">
        <v>936</v>
      </c>
      <c r="C43" s="10" t="n">
        <v>2882</v>
      </c>
      <c r="E43" s="10" t="n">
        <v>1009</v>
      </c>
      <c r="F43" s="10" t="n">
        <v>1145</v>
      </c>
      <c r="G43" s="10" t="n">
        <v>1201</v>
      </c>
      <c r="H43" s="10" t="n">
        <v>1760</v>
      </c>
      <c r="I43" s="10" t="n">
        <v>5115</v>
      </c>
      <c r="K43" s="10" t="n">
        <v>1822</v>
      </c>
      <c r="L43" s="10" t="n">
        <v>1593</v>
      </c>
      <c r="M43" s="10" t="n">
        <v>1350</v>
      </c>
      <c r="N43" s="10" t="n">
        <v>1144</v>
      </c>
      <c r="O43" s="10" t="n">
        <v>5909</v>
      </c>
      <c r="Q43" s="10" t="n">
        <v>1101</v>
      </c>
      <c r="R43" s="10" t="n">
        <v>1328</v>
      </c>
      <c r="S43" s="10" t="n">
        <v>1140</v>
      </c>
      <c r="T43" s="10" t="n">
        <v>1141</v>
      </c>
      <c r="U43" s="10" t="n">
        <v>4710</v>
      </c>
      <c r="W43" s="10" t="n">
        <v>1075</v>
      </c>
      <c r="X43" s="10" t="n">
        <v>947</v>
      </c>
      <c r="Y43" s="10" t="n">
        <v>889</v>
      </c>
      <c r="Z43" s="10" t="n">
        <v>864</v>
      </c>
      <c r="AA43" s="10" t="n">
        <v>3775</v>
      </c>
      <c r="AC43" s="10" t="n">
        <v>873</v>
      </c>
      <c r="AD43" s="10" t="n">
        <v>889</v>
      </c>
      <c r="AE43" s="10" t="n">
        <v>856</v>
      </c>
    </row>
    <row r="44">
      <c r="A44" s="3" t="inlineStr">
        <is>
          <t xml:space="preserve">    Maintenance &amp; Repairs</t>
        </is>
      </c>
    </row>
    <row r="45">
      <c r="A45" s="3" t="inlineStr">
        <is>
          <t xml:space="preserve">    Selling, General &amp; Administrative</t>
        </is>
      </c>
    </row>
    <row r="46">
      <c r="A46" s="3" t="inlineStr">
        <is>
          <t xml:space="preserve">    Other Operating Expense</t>
        </is>
      </c>
      <c r="B46" s="10" t="n">
        <v>3286</v>
      </c>
      <c r="C46" s="10" t="n">
        <v>11981</v>
      </c>
      <c r="E46" s="10" t="n">
        <v>3121</v>
      </c>
      <c r="F46" s="10" t="n">
        <v>3301</v>
      </c>
      <c r="G46" s="10" t="n">
        <v>3458</v>
      </c>
      <c r="H46" s="10" t="n">
        <v>3764</v>
      </c>
      <c r="I46" s="10" t="n">
        <v>13644</v>
      </c>
      <c r="K46" s="10" t="n">
        <v>3478</v>
      </c>
      <c r="L46" s="10" t="n">
        <v>3429</v>
      </c>
      <c r="M46" s="10" t="n">
        <v>3410</v>
      </c>
      <c r="N46" s="10" t="n">
        <v>3511</v>
      </c>
      <c r="O46" s="10" t="n">
        <v>13828</v>
      </c>
      <c r="Q46" s="10" t="n">
        <v>3123</v>
      </c>
      <c r="R46" s="10" t="n">
        <v>3156</v>
      </c>
      <c r="S46" s="10" t="n">
        <v>3182</v>
      </c>
      <c r="T46" s="10" t="n">
        <v>3193</v>
      </c>
      <c r="U46" s="10" t="n">
        <v>12654</v>
      </c>
      <c r="W46" s="10" t="n">
        <v>3168</v>
      </c>
      <c r="X46" s="10" t="n">
        <v>3201</v>
      </c>
      <c r="Y46" s="10" t="n">
        <v>3255</v>
      </c>
      <c r="Z46" s="10" t="n">
        <v>3377</v>
      </c>
      <c r="AA46" s="10" t="n">
        <v>13001</v>
      </c>
      <c r="AC46" s="10" t="n">
        <v>3396</v>
      </c>
      <c r="AD46" s="10" t="n">
        <v>3511</v>
      </c>
      <c r="AE46" s="10" t="n">
        <v>3508</v>
      </c>
    </row>
    <row r="47">
      <c r="A47" s="11" t="inlineStr">
        <is>
          <t>Operating Income</t>
        </is>
      </c>
      <c r="B47" s="12" t="n">
        <v>1797</v>
      </c>
      <c r="C47" s="12" t="n">
        <v>5857</v>
      </c>
      <c r="E47" s="12" t="n">
        <v>1398</v>
      </c>
      <c r="F47" s="12" t="n">
        <v>1597</v>
      </c>
      <c r="G47" s="12" t="n">
        <v>1326</v>
      </c>
      <c r="H47" s="12" t="n">
        <v>1924</v>
      </c>
      <c r="I47" s="12" t="n">
        <v>6245</v>
      </c>
      <c r="K47" s="12" t="n">
        <v>1191</v>
      </c>
      <c r="L47" s="12" t="n">
        <v>1176</v>
      </c>
      <c r="M47" s="12" t="n">
        <v>1042</v>
      </c>
      <c r="N47" s="12" t="n">
        <v>1503</v>
      </c>
      <c r="O47" s="12" t="n">
        <v>4912</v>
      </c>
      <c r="Q47" s="12" t="n">
        <v>1485</v>
      </c>
      <c r="R47" s="12" t="n">
        <v>1276</v>
      </c>
      <c r="S47" s="12" t="n">
        <v>1243</v>
      </c>
      <c r="T47" s="12" t="n">
        <v>1555</v>
      </c>
      <c r="U47" s="12" t="n">
        <v>5559</v>
      </c>
      <c r="W47" s="12" t="n">
        <v>1080</v>
      </c>
      <c r="X47" s="12" t="n">
        <v>1052</v>
      </c>
      <c r="Y47" s="12" t="n">
        <v>1292</v>
      </c>
      <c r="Z47" s="12" t="n">
        <v>1793</v>
      </c>
      <c r="AA47" s="12" t="n">
        <v>5217</v>
      </c>
      <c r="AC47" s="12" t="n">
        <v>1186</v>
      </c>
      <c r="AD47" s="12" t="n">
        <v>1378</v>
      </c>
      <c r="AE47" s="12" t="n">
        <v>1348</v>
      </c>
    </row>
    <row r="48">
      <c r="A48" s="3" t="inlineStr">
        <is>
          <t>Interest Expense</t>
        </is>
      </c>
      <c r="C48" s="10" t="n">
        <v>793</v>
      </c>
      <c r="I48" s="10" t="n">
        <v>689</v>
      </c>
      <c r="O48" s="10" t="n">
        <v>694</v>
      </c>
      <c r="U48" s="10" t="n">
        <v>745</v>
      </c>
    </row>
    <row r="49">
      <c r="A49" s="3" t="inlineStr">
        <is>
          <t>Interest Income</t>
        </is>
      </c>
      <c r="C49" s="10" t="n">
        <v>52</v>
      </c>
      <c r="I49" s="10" t="n">
        <v>53</v>
      </c>
      <c r="O49" s="10" t="n">
        <v>198</v>
      </c>
      <c r="U49" s="10" t="n">
        <v>370</v>
      </c>
      <c r="AA49" s="10" t="n">
        <v>363</v>
      </c>
    </row>
    <row r="50">
      <c r="A50" s="3" t="inlineStr">
        <is>
          <t>Other Non-Operating Income (Expense)</t>
        </is>
      </c>
      <c r="B50" s="10" t="n">
        <v>-35</v>
      </c>
      <c r="C50" s="10" t="n">
        <v>-32</v>
      </c>
      <c r="E50" s="10" t="n">
        <v>3</v>
      </c>
      <c r="F50" s="10" t="n">
        <v>-15</v>
      </c>
      <c r="G50" s="10" t="n">
        <v>1</v>
      </c>
      <c r="H50" s="10" t="n">
        <v>24</v>
      </c>
      <c r="I50" s="10" t="n">
        <v>13</v>
      </c>
      <c r="K50" s="10" t="n">
        <v>4</v>
      </c>
      <c r="L50" s="10" t="n">
        <v>-91</v>
      </c>
      <c r="M50" s="10" t="n">
        <v>-20</v>
      </c>
      <c r="N50" s="10" t="n">
        <v>-20</v>
      </c>
      <c r="O50" s="10" t="n">
        <v>-107</v>
      </c>
      <c r="Q50" s="10" t="n">
        <v>-10</v>
      </c>
      <c r="R50" s="10" t="n">
        <v>-18</v>
      </c>
      <c r="S50" s="10" t="n">
        <v>-9</v>
      </c>
      <c r="T50" s="10" t="n">
        <v>-33</v>
      </c>
      <c r="U50" s="10" t="n">
        <v>-70</v>
      </c>
      <c r="W50" s="10" t="n">
        <v>11</v>
      </c>
      <c r="X50" s="10" t="n">
        <v>-19</v>
      </c>
      <c r="Y50" s="10" t="n">
        <v>-45</v>
      </c>
      <c r="Z50" s="10" t="n">
        <v>-10</v>
      </c>
      <c r="AA50" s="10" t="n">
        <v>-63</v>
      </c>
      <c r="AC50" s="10" t="n">
        <v>7</v>
      </c>
      <c r="AD50" s="10" t="n">
        <v>-13</v>
      </c>
      <c r="AE50" s="10" t="n">
        <v>-6</v>
      </c>
    </row>
    <row r="51">
      <c r="A51" s="11" t="inlineStr">
        <is>
          <t>Pretax Income</t>
        </is>
      </c>
      <c r="B51" s="12" t="n">
        <v>2613</v>
      </c>
      <c r="C51" s="12" t="n">
        <v>6674</v>
      </c>
      <c r="E51" s="12" t="n">
        <v>1457</v>
      </c>
      <c r="F51" s="12" t="n">
        <v>1380</v>
      </c>
      <c r="G51" s="12" t="n">
        <v>1375</v>
      </c>
      <c r="H51" s="12" t="n">
        <v>684</v>
      </c>
      <c r="I51" s="12" t="n">
        <v>4896</v>
      </c>
      <c r="K51" s="12" t="n">
        <v>1154</v>
      </c>
      <c r="L51" s="12" t="n">
        <v>1059</v>
      </c>
      <c r="M51" s="12" t="n">
        <v>1022</v>
      </c>
      <c r="N51" s="12" t="n">
        <v>2128</v>
      </c>
      <c r="O51" s="12" t="n">
        <v>5363</v>
      </c>
      <c r="Q51" s="12" t="n">
        <v>1423</v>
      </c>
      <c r="R51" s="12" t="n">
        <v>1202</v>
      </c>
      <c r="S51" s="12" t="n">
        <v>1183</v>
      </c>
      <c r="T51" s="12" t="n">
        <v>2028</v>
      </c>
      <c r="U51" s="12" t="n">
        <v>5836</v>
      </c>
      <c r="W51" s="12" t="n">
        <v>1056</v>
      </c>
      <c r="X51" s="12" t="n">
        <v>981</v>
      </c>
      <c r="Y51" s="12" t="n">
        <v>1181</v>
      </c>
      <c r="Z51" s="12" t="n">
        <v>2223</v>
      </c>
      <c r="AA51" s="12" t="n">
        <v>5441</v>
      </c>
      <c r="AC51" s="12" t="n">
        <v>1134</v>
      </c>
      <c r="AD51" s="12" t="n">
        <v>1289</v>
      </c>
      <c r="AE51" s="12" t="n">
        <v>1263</v>
      </c>
    </row>
    <row r="52">
      <c r="A52" s="3" t="inlineStr">
        <is>
          <t>Income Tax Expense (Benefit)</t>
        </is>
      </c>
      <c r="B52" s="10" t="n">
        <v>745</v>
      </c>
      <c r="C52" s="10" t="n">
        <v>1443</v>
      </c>
      <c r="E52" s="10" t="n">
        <v>345</v>
      </c>
      <c r="F52" s="10" t="n">
        <v>336</v>
      </c>
      <c r="G52" s="10" t="n">
        <v>263</v>
      </c>
      <c r="H52" s="10" t="n">
        <v>126</v>
      </c>
      <c r="I52" s="10" t="n">
        <v>1070</v>
      </c>
      <c r="K52" s="10" t="n">
        <v>279</v>
      </c>
      <c r="L52" s="10" t="n">
        <v>271</v>
      </c>
      <c r="M52" s="10" t="n">
        <v>251</v>
      </c>
      <c r="N52" s="10" t="n">
        <v>590</v>
      </c>
      <c r="O52" s="10" t="n">
        <v>1391</v>
      </c>
      <c r="Q52" s="10" t="n">
        <v>345</v>
      </c>
      <c r="R52" s="10" t="n">
        <v>302</v>
      </c>
      <c r="S52" s="10" t="n">
        <v>304</v>
      </c>
      <c r="T52" s="10" t="n">
        <v>554</v>
      </c>
      <c r="U52" s="10" t="n">
        <v>1505</v>
      </c>
      <c r="W52" s="10" t="n">
        <v>262</v>
      </c>
      <c r="X52" s="10" t="n">
        <v>240</v>
      </c>
      <c r="Y52" s="10" t="n">
        <v>272</v>
      </c>
      <c r="Z52" s="10" t="n">
        <v>575</v>
      </c>
      <c r="AA52" s="10" t="n">
        <v>1349</v>
      </c>
      <c r="AC52" s="10" t="n">
        <v>310</v>
      </c>
      <c r="AD52" s="10" t="n">
        <v>333</v>
      </c>
      <c r="AE52" s="10" t="n">
        <v>207</v>
      </c>
    </row>
    <row r="53">
      <c r="A53" s="3" t="inlineStr">
        <is>
          <t>Equity Method Investment Income</t>
        </is>
      </c>
    </row>
    <row r="54">
      <c r="A54" s="11" t="inlineStr">
        <is>
          <t>Net Income from Continuing Operations</t>
        </is>
      </c>
      <c r="B54" s="12" t="n">
        <v>1868</v>
      </c>
      <c r="C54" s="12" t="n">
        <v>5231</v>
      </c>
      <c r="E54" s="12" t="n">
        <v>1112</v>
      </c>
      <c r="F54" s="12" t="n">
        <v>1044</v>
      </c>
      <c r="G54" s="12" t="n">
        <v>1112</v>
      </c>
      <c r="H54" s="12" t="n">
        <v>558</v>
      </c>
      <c r="I54" s="12" t="n">
        <v>3826</v>
      </c>
      <c r="K54" s="12" t="n">
        <v>875</v>
      </c>
      <c r="L54" s="12" t="n">
        <v>788</v>
      </c>
      <c r="M54" s="12" t="n">
        <v>771</v>
      </c>
      <c r="N54" s="12" t="n">
        <v>1538</v>
      </c>
      <c r="O54" s="12" t="n">
        <v>3972</v>
      </c>
      <c r="Q54" s="12" t="n">
        <v>1078</v>
      </c>
      <c r="R54" s="12" t="n">
        <v>900</v>
      </c>
      <c r="S54" s="12" t="n">
        <v>879</v>
      </c>
      <c r="T54" s="12" t="n">
        <v>1474</v>
      </c>
      <c r="U54" s="12" t="n">
        <v>4331</v>
      </c>
      <c r="W54" s="12" t="n">
        <v>794</v>
      </c>
      <c r="X54" s="12" t="n">
        <v>741</v>
      </c>
      <c r="Y54" s="12" t="n">
        <v>909</v>
      </c>
      <c r="Z54" s="12" t="n">
        <v>1648</v>
      </c>
      <c r="AA54" s="12" t="n">
        <v>4092</v>
      </c>
      <c r="AC54" s="12" t="n">
        <v>824</v>
      </c>
      <c r="AD54" s="12" t="n">
        <v>956</v>
      </c>
      <c r="AE54" s="12" t="n">
        <v>1056</v>
      </c>
    </row>
    <row r="55">
      <c r="A55" s="3" t="inlineStr">
        <is>
          <t>Income from Discontinued Operations</t>
        </is>
      </c>
    </row>
    <row r="56">
      <c r="A56" s="3" t="inlineStr">
        <is>
          <t>Net Income Attributable to Noncontrolling Interest</t>
        </is>
      </c>
    </row>
    <row r="57">
      <c r="A57" s="11" t="inlineStr">
        <is>
          <t>Net Income</t>
        </is>
      </c>
      <c r="B57" s="12" t="n">
        <v>1868</v>
      </c>
      <c r="C57" s="12" t="n">
        <v>5231</v>
      </c>
      <c r="E57" s="12" t="n">
        <v>1112</v>
      </c>
      <c r="F57" s="12" t="n">
        <v>1044</v>
      </c>
      <c r="G57" s="12" t="n">
        <v>1112</v>
      </c>
      <c r="H57" s="12" t="n">
        <v>558</v>
      </c>
      <c r="I57" s="12" t="n">
        <v>3826</v>
      </c>
      <c r="K57" s="12" t="n">
        <v>875</v>
      </c>
      <c r="L57" s="12" t="n">
        <v>788</v>
      </c>
      <c r="M57" s="12" t="n">
        <v>771</v>
      </c>
      <c r="N57" s="12" t="n">
        <v>1538</v>
      </c>
      <c r="O57" s="12" t="n">
        <v>3972</v>
      </c>
      <c r="Q57" s="12" t="n">
        <v>1078</v>
      </c>
      <c r="R57" s="12" t="n">
        <v>900</v>
      </c>
      <c r="S57" s="12" t="n">
        <v>879</v>
      </c>
      <c r="T57" s="12" t="n">
        <v>1474</v>
      </c>
      <c r="U57" s="12" t="n">
        <v>4331</v>
      </c>
      <c r="W57" s="12" t="n">
        <v>794</v>
      </c>
      <c r="X57" s="12" t="n">
        <v>741</v>
      </c>
      <c r="Y57" s="12" t="n">
        <v>909</v>
      </c>
      <c r="Z57" s="12" t="n">
        <v>1648</v>
      </c>
      <c r="AA57" s="12" t="n">
        <v>4092</v>
      </c>
      <c r="AC57" s="12" t="n">
        <v>824</v>
      </c>
      <c r="AD57" s="12" t="n">
        <v>956</v>
      </c>
      <c r="AE57" s="12" t="n">
        <v>1056</v>
      </c>
    </row>
    <row r="58">
      <c r="A58" s="3" t="inlineStr">
        <is>
          <t>EPS - Basic</t>
        </is>
      </c>
      <c r="B58" s="13" t="n">
        <v>7.039999999999999</v>
      </c>
      <c r="C58" s="13" t="n">
        <v>19.79</v>
      </c>
      <c r="E58" s="13" t="n">
        <v>4.17</v>
      </c>
      <c r="F58" s="13" t="n">
        <v>3.94</v>
      </c>
      <c r="G58" s="13" t="n">
        <v>4.26</v>
      </c>
      <c r="H58" s="13" t="n">
        <v>2.18</v>
      </c>
      <c r="I58" s="13" t="n">
        <v>14.54</v>
      </c>
      <c r="K58" s="13" t="n">
        <v>3.37</v>
      </c>
      <c r="L58" s="13" t="n">
        <v>3.08</v>
      </c>
      <c r="M58" s="13" t="n">
        <v>3.07</v>
      </c>
      <c r="N58" s="13" t="n">
        <v>6.08</v>
      </c>
      <c r="O58" s="13" t="n">
        <v>15.6</v>
      </c>
      <c r="Q58" s="13" t="n">
        <v>4.28</v>
      </c>
      <c r="R58" s="13" t="n">
        <v>3.59</v>
      </c>
      <c r="S58" s="13" t="n">
        <v>3.55</v>
      </c>
      <c r="T58" s="13" t="n">
        <v>5.98</v>
      </c>
      <c r="U58" s="13" t="n">
        <v>17.41</v>
      </c>
      <c r="W58" s="13" t="n">
        <v>3.24</v>
      </c>
      <c r="X58" s="13" t="n">
        <v>3.06</v>
      </c>
      <c r="Y58" s="13" t="n">
        <v>3.79</v>
      </c>
      <c r="Z58" s="13" t="n">
        <v>6.870000000000001</v>
      </c>
      <c r="AA58" s="13" t="n">
        <v>16.96</v>
      </c>
      <c r="AC58" s="13" t="n">
        <v>3.48</v>
      </c>
      <c r="AD58" s="13" t="n">
        <v>4.07</v>
      </c>
      <c r="AE58" s="13" t="n">
        <v>4.46</v>
      </c>
    </row>
    <row r="59">
      <c r="A59" s="3" t="inlineStr">
        <is>
          <t>EPS - Diluted</t>
        </is>
      </c>
      <c r="B59" s="13" t="n">
        <v>6.899999999999999</v>
      </c>
      <c r="C59" s="13" t="n">
        <v>19.45</v>
      </c>
      <c r="E59" s="13" t="n">
        <v>4.09</v>
      </c>
      <c r="F59" s="13" t="n">
        <v>3.88</v>
      </c>
      <c r="G59" s="13" t="n">
        <v>4.2</v>
      </c>
      <c r="H59" s="13" t="n">
        <v>2.16</v>
      </c>
      <c r="I59" s="13" t="n">
        <v>14.33</v>
      </c>
      <c r="K59" s="13" t="n">
        <v>3.33</v>
      </c>
      <c r="L59" s="13" t="n">
        <v>3.07</v>
      </c>
      <c r="M59" s="13" t="n">
        <v>3.05</v>
      </c>
      <c r="N59" s="13" t="n">
        <v>6.02</v>
      </c>
      <c r="O59" s="13" t="n">
        <v>15.48</v>
      </c>
      <c r="Q59" s="13" t="n">
        <v>4.23</v>
      </c>
      <c r="R59" s="13" t="n">
        <v>3.55</v>
      </c>
      <c r="S59" s="13" t="n">
        <v>3.51</v>
      </c>
      <c r="T59" s="13" t="n">
        <v>5.9</v>
      </c>
      <c r="U59" s="13" t="n">
        <v>17.21</v>
      </c>
      <c r="W59" s="13" t="n">
        <v>3.21</v>
      </c>
      <c r="X59" s="13" t="n">
        <v>3.03</v>
      </c>
      <c r="Y59" s="13" t="n">
        <v>3.76</v>
      </c>
      <c r="Z59" s="13" t="n">
        <v>6.819999999999999</v>
      </c>
      <c r="AA59" s="13" t="n">
        <v>16.81</v>
      </c>
      <c r="AC59" s="13" t="n">
        <v>3.46</v>
      </c>
      <c r="AD59" s="13" t="n">
        <v>4.04</v>
      </c>
      <c r="AE59" s="13" t="n">
        <v>4.41</v>
      </c>
    </row>
    <row r="60">
      <c r="A60" s="3" t="inlineStr">
        <is>
          <t>Weighted Avg Shares - Basic</t>
        </is>
      </c>
      <c r="B60" s="13" t="n">
        <v>1</v>
      </c>
      <c r="C60" s="13" t="n">
        <v>264</v>
      </c>
      <c r="E60" s="13" t="n">
        <v>266</v>
      </c>
      <c r="F60" s="13" t="n">
        <v>265</v>
      </c>
      <c r="G60" s="13" t="n">
        <v>261</v>
      </c>
      <c r="H60" s="13" t="n">
        <v>-1</v>
      </c>
      <c r="I60" s="13" t="n">
        <v>263</v>
      </c>
      <c r="K60" s="13" t="n">
        <v>259</v>
      </c>
      <c r="L60" s="13" t="n">
        <v>255</v>
      </c>
      <c r="M60" s="13" t="n">
        <v>251</v>
      </c>
      <c r="N60" s="13" t="n">
        <v>-1</v>
      </c>
      <c r="O60" s="13" t="n">
        <v>254</v>
      </c>
      <c r="Q60" s="13" t="n">
        <v>251</v>
      </c>
      <c r="R60" s="13" t="n">
        <v>250</v>
      </c>
      <c r="S60" s="13" t="n">
        <v>247</v>
      </c>
      <c r="T60" s="13" t="n">
        <v>-1</v>
      </c>
      <c r="U60" s="13" t="n">
        <v>248</v>
      </c>
      <c r="W60" s="13" t="n">
        <v>244</v>
      </c>
      <c r="X60" s="13" t="n">
        <v>242</v>
      </c>
      <c r="Y60" s="13" t="n">
        <v>240</v>
      </c>
      <c r="Z60" s="13" t="n">
        <v>-1</v>
      </c>
      <c r="AA60" s="13" t="n">
        <v>241</v>
      </c>
      <c r="AC60" s="13" t="n">
        <v>236</v>
      </c>
      <c r="AD60" s="13" t="n">
        <v>235</v>
      </c>
      <c r="AE60" s="13" t="n">
        <v>236</v>
      </c>
    </row>
    <row r="61">
      <c r="A61" s="3" t="inlineStr">
        <is>
          <t>Weighted Avg Shares - Diluted</t>
        </is>
      </c>
      <c r="B61" s="13" t="n">
        <v>1</v>
      </c>
      <c r="C61" s="13" t="n">
        <v>268</v>
      </c>
      <c r="E61" s="13" t="n">
        <v>271</v>
      </c>
      <c r="F61" s="13" t="n">
        <v>268</v>
      </c>
      <c r="G61" s="13" t="n">
        <v>265</v>
      </c>
      <c r="H61" s="13" t="n">
        <v>-2</v>
      </c>
      <c r="I61" s="13" t="n">
        <v>266</v>
      </c>
      <c r="K61" s="13" t="n">
        <v>262</v>
      </c>
      <c r="L61" s="13" t="n">
        <v>256</v>
      </c>
      <c r="M61" s="13" t="n">
        <v>253</v>
      </c>
      <c r="N61" s="13" t="n">
        <v>-1</v>
      </c>
      <c r="O61" s="13" t="n">
        <v>256</v>
      </c>
      <c r="Q61" s="13" t="n">
        <v>254</v>
      </c>
      <c r="R61" s="13" t="n">
        <v>253</v>
      </c>
      <c r="S61" s="13" t="n">
        <v>250</v>
      </c>
      <c r="T61" s="13" t="n">
        <v>-1</v>
      </c>
      <c r="U61" s="13" t="n">
        <v>251</v>
      </c>
      <c r="W61" s="13" t="n">
        <v>247</v>
      </c>
      <c r="X61" s="13" t="n">
        <v>244</v>
      </c>
      <c r="Y61" s="13" t="n">
        <v>242</v>
      </c>
      <c r="Z61" s="13" t="n">
        <v>-1</v>
      </c>
      <c r="AA61" s="13" t="n">
        <v>243</v>
      </c>
      <c r="AC61" s="13" t="n">
        <v>238</v>
      </c>
      <c r="AD61" s="13" t="n">
        <v>236</v>
      </c>
      <c r="AE61" s="13" t="n">
        <v>239</v>
      </c>
    </row>
    <row r="64">
      <c r="A64" s="2" t="inlineStr">
        <is>
          <t>BALANCE SHEET</t>
        </is>
      </c>
    </row>
    <row r="65">
      <c r="A65" s="5" t="n"/>
      <c r="B65" s="6" t="n"/>
      <c r="C65" s="6" t="n">
        <v>2021</v>
      </c>
      <c r="D65" s="6" t="n"/>
      <c r="E65" s="6" t="n"/>
      <c r="F65" s="6" t="n"/>
      <c r="G65" s="6" t="n"/>
      <c r="H65" s="6" t="n"/>
      <c r="I65" s="6" t="n">
        <v>2022</v>
      </c>
      <c r="J65" s="6" t="n"/>
      <c r="K65" s="6" t="n"/>
      <c r="L65" s="6" t="n"/>
      <c r="M65" s="6" t="n"/>
      <c r="N65" s="6" t="n"/>
      <c r="O65" s="6" t="n">
        <v>2023</v>
      </c>
      <c r="P65" s="6" t="n"/>
      <c r="Q65" s="6" t="n"/>
      <c r="R65" s="6" t="n"/>
      <c r="S65" s="6" t="n"/>
      <c r="T65" s="6" t="n"/>
      <c r="U65" s="6" t="n">
        <v>2024</v>
      </c>
      <c r="V65" s="6" t="n"/>
      <c r="W65" s="6" t="n"/>
      <c r="X65" s="6" t="n"/>
      <c r="Y65" s="6" t="n"/>
      <c r="Z65" s="6" t="n"/>
      <c r="AA65" s="6" t="n">
        <v>2025</v>
      </c>
      <c r="AB65" s="6" t="n"/>
      <c r="AC65" s="6" t="n"/>
      <c r="AD65" s="6" t="n"/>
      <c r="AE65" s="6" t="n"/>
      <c r="AF65" s="6" t="n"/>
    </row>
    <row r="66">
      <c r="A66" s="5" t="n"/>
      <c r="B66" s="6" t="inlineStr">
        <is>
          <t>Q4</t>
        </is>
      </c>
      <c r="C66" s="6" t="inlineStr">
        <is>
          <t>2021</t>
        </is>
      </c>
      <c r="D66" s="6" t="n"/>
      <c r="E66" s="6" t="inlineStr">
        <is>
          <t>Q1</t>
        </is>
      </c>
      <c r="F66" s="6" t="inlineStr">
        <is>
          <t>Q2</t>
        </is>
      </c>
      <c r="G66" s="6" t="inlineStr">
        <is>
          <t>Q3</t>
        </is>
      </c>
      <c r="H66" s="6" t="inlineStr">
        <is>
          <t>Q4</t>
        </is>
      </c>
      <c r="I66" s="6" t="inlineStr">
        <is>
          <t>2022</t>
        </is>
      </c>
      <c r="J66" s="6" t="n"/>
      <c r="K66" s="6" t="inlineStr">
        <is>
          <t>Q1</t>
        </is>
      </c>
      <c r="L66" s="6" t="inlineStr">
        <is>
          <t>Q2</t>
        </is>
      </c>
      <c r="M66" s="6" t="inlineStr">
        <is>
          <t>Q3</t>
        </is>
      </c>
      <c r="N66" s="6" t="inlineStr">
        <is>
          <t>Q4</t>
        </is>
      </c>
      <c r="O66" s="6" t="inlineStr">
        <is>
          <t>2023</t>
        </is>
      </c>
      <c r="P66" s="6" t="n"/>
      <c r="Q66" s="6" t="inlineStr">
        <is>
          <t>Q1</t>
        </is>
      </c>
      <c r="R66" s="6" t="inlineStr">
        <is>
          <t>Q2</t>
        </is>
      </c>
      <c r="S66" s="6" t="inlineStr">
        <is>
          <t>Q3</t>
        </is>
      </c>
      <c r="T66" s="6" t="inlineStr">
        <is>
          <t>Q4</t>
        </is>
      </c>
      <c r="U66" s="6" t="inlineStr">
        <is>
          <t>2024</t>
        </is>
      </c>
      <c r="V66" s="6" t="n"/>
      <c r="W66" s="6" t="inlineStr">
        <is>
          <t>Q1</t>
        </is>
      </c>
      <c r="X66" s="6" t="inlineStr">
        <is>
          <t>Q2</t>
        </is>
      </c>
      <c r="Y66" s="6" t="inlineStr">
        <is>
          <t>Q3</t>
        </is>
      </c>
      <c r="Z66" s="6" t="inlineStr">
        <is>
          <t>Q4</t>
        </is>
      </c>
      <c r="AA66" s="6" t="inlineStr">
        <is>
          <t>2025</t>
        </is>
      </c>
      <c r="AB66" s="6" t="n"/>
      <c r="AC66" s="6" t="inlineStr">
        <is>
          <t>Q1</t>
        </is>
      </c>
      <c r="AD66" s="6" t="inlineStr">
        <is>
          <t>Q2</t>
        </is>
      </c>
      <c r="AE66" s="6" t="inlineStr">
        <is>
          <t>Q3</t>
        </is>
      </c>
      <c r="AF66" s="6" t="n"/>
    </row>
    <row r="67">
      <c r="A67" s="3" t="inlineStr">
        <is>
          <t>Cash &amp; Cash Equivalents</t>
        </is>
      </c>
      <c r="B67" s="10" t="n">
        <v>7087</v>
      </c>
      <c r="C67" s="10" t="n">
        <v>7087</v>
      </c>
      <c r="E67" s="10" t="n">
        <v>6853</v>
      </c>
      <c r="F67" s="10" t="n">
        <v>6833</v>
      </c>
      <c r="G67" s="10" t="n">
        <v>6065</v>
      </c>
      <c r="H67" s="10" t="n">
        <v>6897</v>
      </c>
      <c r="I67" s="10" t="n">
        <v>6897</v>
      </c>
      <c r="K67" s="10" t="n">
        <v>6850</v>
      </c>
      <c r="L67" s="10" t="n">
        <v>4646</v>
      </c>
      <c r="M67" s="10" t="n">
        <v>5373</v>
      </c>
      <c r="N67" s="10" t="n">
        <v>6856</v>
      </c>
      <c r="O67" s="10" t="n">
        <v>6856</v>
      </c>
      <c r="Q67" s="10" t="n">
        <v>7055</v>
      </c>
      <c r="R67" s="10" t="n">
        <v>6729</v>
      </c>
      <c r="S67" s="10" t="n">
        <v>5644</v>
      </c>
      <c r="T67" s="10" t="n">
        <v>6501</v>
      </c>
      <c r="U67" s="10" t="n">
        <v>6501</v>
      </c>
      <c r="W67" s="10" t="n">
        <v>5943</v>
      </c>
      <c r="X67" s="10" t="n">
        <v>5029</v>
      </c>
      <c r="Y67" s="10" t="n">
        <v>5135</v>
      </c>
      <c r="Z67" s="10" t="n">
        <v>5502</v>
      </c>
      <c r="AA67" s="10" t="n">
        <v>5502</v>
      </c>
      <c r="AC67" s="10" t="n">
        <v>6166</v>
      </c>
      <c r="AD67" s="10" t="n">
        <v>6570</v>
      </c>
      <c r="AE67" s="10" t="n">
        <v>8008</v>
      </c>
    </row>
    <row r="68">
      <c r="A68" s="3" t="inlineStr">
        <is>
          <t>Short-Term Investments</t>
        </is>
      </c>
    </row>
    <row r="69">
      <c r="A69" s="3" t="inlineStr">
        <is>
          <t>Accounts Receivable, Net</t>
        </is>
      </c>
      <c r="B69" s="10" t="n">
        <v>12069</v>
      </c>
      <c r="C69" s="10" t="n">
        <v>12069</v>
      </c>
      <c r="E69" s="10" t="n">
        <v>11125</v>
      </c>
      <c r="F69" s="10" t="n">
        <v>12197</v>
      </c>
      <c r="G69" s="10" t="n">
        <v>11668</v>
      </c>
      <c r="H69" s="10" t="n">
        <v>11863</v>
      </c>
      <c r="I69" s="10" t="n">
        <v>11863</v>
      </c>
      <c r="K69" s="10" t="n">
        <v>11055</v>
      </c>
      <c r="L69" s="10" t="n">
        <v>11644</v>
      </c>
      <c r="M69" s="10" t="n">
        <v>10721</v>
      </c>
      <c r="N69" s="10" t="n">
        <v>10188</v>
      </c>
      <c r="O69" s="10" t="n">
        <v>10188</v>
      </c>
      <c r="Q69" s="10" t="n">
        <v>10207</v>
      </c>
      <c r="R69" s="10" t="n">
        <v>10665</v>
      </c>
      <c r="S69" s="10" t="n">
        <v>9904</v>
      </c>
      <c r="T69" s="10" t="n">
        <v>10087</v>
      </c>
      <c r="U69" s="10" t="n">
        <v>10087</v>
      </c>
      <c r="W69" s="10" t="n">
        <v>10312</v>
      </c>
      <c r="X69" s="10" t="n">
        <v>10737</v>
      </c>
      <c r="Y69" s="10" t="n">
        <v>10230</v>
      </c>
      <c r="Z69" s="10" t="n">
        <v>11368</v>
      </c>
      <c r="AA69" s="10" t="n">
        <v>11368</v>
      </c>
      <c r="AC69" s="10" t="n">
        <v>11516</v>
      </c>
      <c r="AD69" s="10" t="n">
        <v>12159</v>
      </c>
      <c r="AE69" s="10" t="n">
        <v>11807</v>
      </c>
    </row>
    <row r="70">
      <c r="A70" s="3" t="inlineStr">
        <is>
          <t>Inventory, Net / Spare Parts, Supplies &amp; Fuel</t>
        </is>
      </c>
    </row>
    <row r="71">
      <c r="A71" s="3" t="inlineStr">
        <is>
          <t>Prepaid Expenses &amp; Other Current Assets</t>
        </is>
      </c>
      <c r="B71" s="10" t="n">
        <v>837</v>
      </c>
      <c r="C71" s="10" t="n">
        <v>837</v>
      </c>
      <c r="E71" s="10" t="n">
        <v>991</v>
      </c>
      <c r="F71" s="10" t="n">
        <v>1123</v>
      </c>
      <c r="G71" s="10" t="n">
        <v>1122</v>
      </c>
      <c r="H71" s="10" t="n">
        <v>968</v>
      </c>
      <c r="I71" s="10" t="n">
        <v>968</v>
      </c>
      <c r="K71" s="10" t="n">
        <v>1054</v>
      </c>
      <c r="L71" s="10" t="n">
        <v>1272</v>
      </c>
      <c r="M71" s="10" t="n">
        <v>1219</v>
      </c>
      <c r="N71" s="10" t="n">
        <v>962</v>
      </c>
      <c r="O71" s="10" t="n">
        <v>962</v>
      </c>
      <c r="Q71" s="10" t="n">
        <v>994</v>
      </c>
      <c r="R71" s="10" t="n">
        <v>1091</v>
      </c>
      <c r="S71" s="10" t="n">
        <v>1236</v>
      </c>
      <c r="T71" s="10" t="n">
        <v>1005</v>
      </c>
      <c r="U71" s="10" t="n">
        <v>1005</v>
      </c>
      <c r="W71" s="10" t="n">
        <v>1228</v>
      </c>
      <c r="X71" s="10" t="n">
        <v>1335</v>
      </c>
      <c r="Y71" s="10" t="n">
        <v>1232</v>
      </c>
      <c r="Z71" s="10" t="n">
        <v>914</v>
      </c>
      <c r="AA71" s="10" t="n">
        <v>914</v>
      </c>
      <c r="AC71" s="10" t="n">
        <v>1058</v>
      </c>
      <c r="AD71" s="10" t="n">
        <v>1293</v>
      </c>
      <c r="AE71" s="10" t="n">
        <v>1351</v>
      </c>
    </row>
    <row r="72">
      <c r="A72" s="11" t="inlineStr">
        <is>
          <t>Total Current Assets</t>
        </is>
      </c>
      <c r="B72" s="12" t="n">
        <v>20580</v>
      </c>
      <c r="C72" s="12" t="n">
        <v>20580</v>
      </c>
      <c r="E72" s="12" t="n">
        <v>19546</v>
      </c>
      <c r="F72" s="12" t="n">
        <v>20747</v>
      </c>
      <c r="G72" s="12" t="n">
        <v>19466</v>
      </c>
      <c r="H72" s="12" t="n">
        <v>20365</v>
      </c>
      <c r="I72" s="12" t="n">
        <v>20365</v>
      </c>
      <c r="K72" s="12" t="n">
        <v>19606</v>
      </c>
      <c r="L72" s="12" t="n">
        <v>18217</v>
      </c>
      <c r="M72" s="12" t="n">
        <v>17944</v>
      </c>
      <c r="N72" s="12" t="n">
        <v>18610</v>
      </c>
      <c r="O72" s="12" t="n">
        <v>18610</v>
      </c>
      <c r="Q72" s="12" t="n">
        <v>18887</v>
      </c>
      <c r="R72" s="12" t="n">
        <v>19117</v>
      </c>
      <c r="S72" s="12" t="n">
        <v>17424</v>
      </c>
      <c r="T72" s="12" t="n">
        <v>18207</v>
      </c>
      <c r="U72" s="12" t="n">
        <v>18207</v>
      </c>
      <c r="W72" s="12" t="n">
        <v>18094</v>
      </c>
      <c r="X72" s="12" t="n">
        <v>17721</v>
      </c>
      <c r="Y72" s="12" t="n">
        <v>17214</v>
      </c>
      <c r="Z72" s="12" t="n">
        <v>18386</v>
      </c>
      <c r="AA72" s="12" t="n">
        <v>18386</v>
      </c>
      <c r="AC72" s="12" t="n">
        <v>19344</v>
      </c>
      <c r="AD72" s="12" t="n">
        <v>20653</v>
      </c>
      <c r="AE72" s="12" t="n">
        <v>25477</v>
      </c>
    </row>
    <row r="73">
      <c r="A73" s="3" t="inlineStr">
        <is>
          <t>Property, Plant &amp; Equipment, Net</t>
        </is>
      </c>
      <c r="B73" s="10" t="n">
        <v>35752</v>
      </c>
      <c r="C73" s="10" t="n">
        <v>35752</v>
      </c>
      <c r="E73" s="10" t="n">
        <v>36481</v>
      </c>
      <c r="F73" s="10" t="n">
        <v>37153</v>
      </c>
      <c r="G73" s="10" t="n">
        <v>37376</v>
      </c>
      <c r="H73" s="10" t="n">
        <v>38091</v>
      </c>
      <c r="I73" s="10" t="n">
        <v>38091</v>
      </c>
      <c r="K73" s="10" t="n">
        <v>38806</v>
      </c>
      <c r="L73" s="10" t="n">
        <v>39721</v>
      </c>
      <c r="M73" s="10" t="n">
        <v>39849</v>
      </c>
      <c r="N73" s="10" t="n">
        <v>40698</v>
      </c>
      <c r="O73" s="10" t="n">
        <v>40698</v>
      </c>
      <c r="Q73" s="10" t="n">
        <v>41174</v>
      </c>
      <c r="R73" s="10" t="n">
        <v>41532</v>
      </c>
      <c r="S73" s="10" t="n">
        <v>41529</v>
      </c>
      <c r="T73" s="10" t="n">
        <v>41491</v>
      </c>
      <c r="U73" s="10" t="n">
        <v>41491</v>
      </c>
      <c r="W73" s="10" t="n">
        <v>41255</v>
      </c>
      <c r="X73" s="10" t="n">
        <v>41006</v>
      </c>
      <c r="Y73" s="10" t="n">
        <v>40964</v>
      </c>
      <c r="Z73" s="10" t="n">
        <v>41642</v>
      </c>
      <c r="AA73" s="10" t="n">
        <v>41642</v>
      </c>
      <c r="AC73" s="10" t="n">
        <v>41384</v>
      </c>
      <c r="AD73" s="10" t="n">
        <v>41322</v>
      </c>
      <c r="AE73" s="10" t="n">
        <v>41539</v>
      </c>
    </row>
    <row r="74">
      <c r="A74" s="3" t="inlineStr">
        <is>
          <t>Operating Lease Right-of-Use Assets</t>
        </is>
      </c>
      <c r="B74" s="10" t="n">
        <v>15383</v>
      </c>
      <c r="C74" s="10" t="n">
        <v>15383</v>
      </c>
      <c r="E74" s="10" t="n">
        <v>15414</v>
      </c>
      <c r="F74" s="10" t="n">
        <v>16018</v>
      </c>
      <c r="G74" s="10" t="n">
        <v>16605</v>
      </c>
      <c r="H74" s="10" t="n">
        <v>16613</v>
      </c>
      <c r="I74" s="10" t="n">
        <v>16613</v>
      </c>
      <c r="K74" s="10" t="n">
        <v>17219</v>
      </c>
      <c r="L74" s="10" t="n">
        <v>17373</v>
      </c>
      <c r="M74" s="10" t="n">
        <v>17410</v>
      </c>
      <c r="N74" s="10" t="n">
        <v>17347</v>
      </c>
      <c r="O74" s="10" t="n">
        <v>17347</v>
      </c>
      <c r="Q74" s="10" t="n">
        <v>17327</v>
      </c>
      <c r="R74" s="10" t="n">
        <v>17243</v>
      </c>
      <c r="S74" s="10" t="n">
        <v>16935</v>
      </c>
      <c r="T74" s="10" t="n">
        <v>17115</v>
      </c>
      <c r="U74" s="10" t="n">
        <v>17115</v>
      </c>
      <c r="W74" s="10" t="n">
        <v>17094</v>
      </c>
      <c r="X74" s="10" t="n">
        <v>16821</v>
      </c>
      <c r="Y74" s="10" t="n">
        <v>16468</v>
      </c>
      <c r="Z74" s="10" t="n">
        <v>16453</v>
      </c>
      <c r="AA74" s="10" t="n">
        <v>16453</v>
      </c>
      <c r="AC74" s="10" t="n">
        <v>16368</v>
      </c>
      <c r="AD74" s="10" t="n">
        <v>16184</v>
      </c>
      <c r="AE74" s="10" t="n">
        <v>16391</v>
      </c>
    </row>
    <row r="75">
      <c r="A75" s="3" t="inlineStr">
        <is>
          <t>Goodwill</t>
        </is>
      </c>
      <c r="B75" s="10" t="n">
        <v>6992</v>
      </c>
      <c r="C75" s="10" t="n">
        <v>6992</v>
      </c>
      <c r="E75" s="10" t="n">
        <v>6843</v>
      </c>
      <c r="F75" s="10" t="n">
        <v>6702</v>
      </c>
      <c r="G75" s="10" t="n">
        <v>6755</v>
      </c>
      <c r="H75" s="10" t="n">
        <v>6544</v>
      </c>
      <c r="I75" s="10" t="n">
        <v>6544</v>
      </c>
      <c r="K75" s="10" t="n">
        <v>6316</v>
      </c>
      <c r="L75" s="10" t="n">
        <v>6377</v>
      </c>
      <c r="M75" s="10" t="n">
        <v>6455</v>
      </c>
      <c r="N75" s="10" t="n">
        <v>6435</v>
      </c>
      <c r="O75" s="10" t="n">
        <v>6435</v>
      </c>
      <c r="Q75" s="10" t="n">
        <v>6422</v>
      </c>
      <c r="R75" s="10" t="n">
        <v>6468</v>
      </c>
      <c r="S75" s="10" t="n">
        <v>6425</v>
      </c>
      <c r="T75" s="10" t="n">
        <v>6423</v>
      </c>
      <c r="U75" s="10" t="n">
        <v>6423</v>
      </c>
      <c r="W75" s="10" t="n">
        <v>6512</v>
      </c>
      <c r="X75" s="10" t="n">
        <v>6290</v>
      </c>
      <c r="Y75" s="10" t="n">
        <v>6332</v>
      </c>
      <c r="Z75" s="10" t="n">
        <v>6603</v>
      </c>
      <c r="AA75" s="10" t="n">
        <v>6603</v>
      </c>
      <c r="AC75" s="10" t="n">
        <v>6672</v>
      </c>
      <c r="AD75" s="10" t="n">
        <v>6626</v>
      </c>
      <c r="AE75" s="10" t="n">
        <v>6758</v>
      </c>
    </row>
    <row r="76">
      <c r="A76" s="3" t="inlineStr">
        <is>
          <t>Intangible Assets, Net</t>
        </is>
      </c>
      <c r="B76" s="10" t="n">
        <v>322</v>
      </c>
      <c r="C76" s="10" t="n">
        <v>322</v>
      </c>
      <c r="H76" s="10" t="n">
        <v>301</v>
      </c>
      <c r="I76" s="10" t="n">
        <v>301</v>
      </c>
      <c r="N76" s="10" t="n">
        <v>234</v>
      </c>
      <c r="O76" s="10" t="n">
        <v>234</v>
      </c>
      <c r="T76" s="10" t="n">
        <v>181</v>
      </c>
      <c r="U76" s="10" t="n">
        <v>181</v>
      </c>
      <c r="Z76" s="10" t="n">
        <v>205</v>
      </c>
      <c r="AA76" s="10" t="n">
        <v>205</v>
      </c>
    </row>
    <row r="77">
      <c r="A77" s="3" t="inlineStr">
        <is>
          <t>Deferred Income Tax Assets</t>
        </is>
      </c>
      <c r="B77" s="10" t="n">
        <v>1418</v>
      </c>
      <c r="C77" s="10" t="n">
        <v>1418</v>
      </c>
      <c r="H77" s="10" t="n">
        <v>1207</v>
      </c>
      <c r="I77" s="10" t="n">
        <v>1207</v>
      </c>
      <c r="N77" s="10" t="n">
        <v>1163</v>
      </c>
      <c r="O77" s="10" t="n">
        <v>1163</v>
      </c>
      <c r="T77" s="10" t="n">
        <v>1313</v>
      </c>
      <c r="U77" s="10" t="n">
        <v>1313</v>
      </c>
      <c r="Z77" s="10" t="n">
        <v>1116</v>
      </c>
      <c r="AA77" s="10" t="n">
        <v>1116</v>
      </c>
    </row>
    <row r="78">
      <c r="A78" s="3" t="inlineStr">
        <is>
          <t>Other Long-Term Assets</t>
        </is>
      </c>
      <c r="B78" s="10" t="n">
        <v>4070</v>
      </c>
      <c r="C78" s="10" t="n">
        <v>4070</v>
      </c>
      <c r="E78" s="10" t="n">
        <v>3764</v>
      </c>
      <c r="F78" s="10" t="n">
        <v>3627</v>
      </c>
      <c r="G78" s="10" t="n">
        <v>3906</v>
      </c>
      <c r="H78" s="10" t="n">
        <v>4381</v>
      </c>
      <c r="I78" s="10" t="n">
        <v>4381</v>
      </c>
      <c r="K78" s="10" t="n">
        <v>3879</v>
      </c>
      <c r="L78" s="10" t="n">
        <v>3903</v>
      </c>
      <c r="M78" s="10" t="n">
        <v>4117</v>
      </c>
      <c r="N78" s="10" t="n">
        <v>4053</v>
      </c>
      <c r="O78" s="10" t="n">
        <v>4053</v>
      </c>
      <c r="Q78" s="10" t="n">
        <v>3766</v>
      </c>
      <c r="R78" s="10" t="n">
        <v>3691</v>
      </c>
      <c r="S78" s="10" t="n">
        <v>3801</v>
      </c>
      <c r="T78" s="10" t="n">
        <v>3771</v>
      </c>
      <c r="U78" s="10" t="n">
        <v>3771</v>
      </c>
      <c r="W78" s="10" t="n">
        <v>3756</v>
      </c>
      <c r="X78" s="10" t="n">
        <v>3643</v>
      </c>
      <c r="Y78" s="10" t="n">
        <v>4065</v>
      </c>
      <c r="Z78" s="10" t="n">
        <v>4543</v>
      </c>
      <c r="AA78" s="10" t="n">
        <v>4543</v>
      </c>
      <c r="AC78" s="10" t="n">
        <v>4648</v>
      </c>
      <c r="AD78" s="10" t="n">
        <v>4396</v>
      </c>
      <c r="AE78" s="10" t="n">
        <v>4568</v>
      </c>
    </row>
    <row r="79">
      <c r="A79" s="11" t="inlineStr">
        <is>
          <t>Total Assets</t>
        </is>
      </c>
      <c r="B79" s="12" t="n">
        <v>82777</v>
      </c>
      <c r="C79" s="12" t="n">
        <v>82777</v>
      </c>
      <c r="E79" s="12" t="n">
        <v>82048</v>
      </c>
      <c r="F79" s="12" t="n">
        <v>84247</v>
      </c>
      <c r="G79" s="12" t="n">
        <v>84108</v>
      </c>
      <c r="H79" s="12" t="n">
        <v>85994</v>
      </c>
      <c r="I79" s="12" t="n">
        <v>85994</v>
      </c>
      <c r="K79" s="12" t="n">
        <v>85826</v>
      </c>
      <c r="L79" s="12" t="n">
        <v>85591</v>
      </c>
      <c r="M79" s="12" t="n">
        <v>85775</v>
      </c>
      <c r="N79" s="12" t="n">
        <v>87143</v>
      </c>
      <c r="O79" s="12" t="n">
        <v>87143</v>
      </c>
      <c r="Q79" s="12" t="n">
        <v>87576</v>
      </c>
      <c r="R79" s="12" t="n">
        <v>88051</v>
      </c>
      <c r="S79" s="12" t="n">
        <v>86114</v>
      </c>
      <c r="T79" s="12" t="n">
        <v>87007</v>
      </c>
      <c r="U79" s="12" t="n">
        <v>87007</v>
      </c>
      <c r="W79" s="12" t="n">
        <v>86711</v>
      </c>
      <c r="X79" s="12" t="n">
        <v>85481</v>
      </c>
      <c r="Y79" s="12" t="n">
        <v>85043</v>
      </c>
      <c r="Z79" s="12" t="n">
        <v>87627</v>
      </c>
      <c r="AA79" s="12" t="n">
        <v>87627</v>
      </c>
      <c r="AC79" s="12" t="n">
        <v>88416</v>
      </c>
      <c r="AD79" s="12" t="n">
        <v>89181</v>
      </c>
      <c r="AE79" s="12" t="n">
        <v>94733</v>
      </c>
    </row>
    <row r="80">
      <c r="A80" s="3" t="inlineStr">
        <is>
          <t>Current Portion of Long-Term Debt</t>
        </is>
      </c>
    </row>
    <row r="81">
      <c r="A81" s="3" t="inlineStr">
        <is>
          <t>Accounts Payable</t>
        </is>
      </c>
      <c r="B81" s="10" t="n">
        <v>3841</v>
      </c>
      <c r="C81" s="10" t="n">
        <v>3841</v>
      </c>
      <c r="E81" s="10" t="n">
        <v>3822</v>
      </c>
      <c r="F81" s="10" t="n">
        <v>4190</v>
      </c>
      <c r="G81" s="10" t="n">
        <v>4187</v>
      </c>
      <c r="H81" s="10" t="n">
        <v>4030</v>
      </c>
      <c r="I81" s="10" t="n">
        <v>4030</v>
      </c>
      <c r="K81" s="10" t="n">
        <v>4167</v>
      </c>
      <c r="L81" s="10" t="n">
        <v>3989</v>
      </c>
      <c r="M81" s="10" t="n">
        <v>3987</v>
      </c>
      <c r="N81" s="10" t="n">
        <v>3848</v>
      </c>
      <c r="O81" s="10" t="n">
        <v>3848</v>
      </c>
      <c r="Q81" s="10" t="n">
        <v>3794</v>
      </c>
      <c r="R81" s="10" t="n">
        <v>4002</v>
      </c>
      <c r="S81" s="10" t="n">
        <v>3780</v>
      </c>
      <c r="T81" s="10" t="n">
        <v>3189</v>
      </c>
      <c r="U81" s="10" t="n">
        <v>3189</v>
      </c>
      <c r="W81" s="10" t="n">
        <v>3738</v>
      </c>
      <c r="X81" s="10" t="n">
        <v>3896</v>
      </c>
      <c r="Y81" s="10" t="n">
        <v>3604</v>
      </c>
      <c r="Z81" s="10" t="n">
        <v>3692</v>
      </c>
      <c r="AA81" s="10" t="n">
        <v>3692</v>
      </c>
      <c r="AC81" s="10" t="n">
        <v>4223</v>
      </c>
      <c r="AD81" s="10" t="n">
        <v>4664</v>
      </c>
      <c r="AE81" s="10" t="n">
        <v>4154</v>
      </c>
    </row>
    <row r="82">
      <c r="A82" s="3" t="inlineStr">
        <is>
          <t>Accrued Salaries &amp; Employee Benefits</t>
        </is>
      </c>
      <c r="B82" s="10" t="n">
        <v>2903</v>
      </c>
      <c r="C82" s="10" t="n">
        <v>2903</v>
      </c>
      <c r="E82" s="10" t="n">
        <v>2200</v>
      </c>
      <c r="F82" s="10" t="n">
        <v>2537</v>
      </c>
      <c r="G82" s="10" t="n">
        <v>2489</v>
      </c>
      <c r="H82" s="10" t="n">
        <v>2531</v>
      </c>
      <c r="I82" s="10" t="n">
        <v>2531</v>
      </c>
      <c r="K82" s="10" t="n">
        <v>2263</v>
      </c>
      <c r="L82" s="10" t="n">
        <v>2420</v>
      </c>
      <c r="M82" s="10" t="n">
        <v>2266</v>
      </c>
      <c r="N82" s="10" t="n">
        <v>2475</v>
      </c>
      <c r="O82" s="10" t="n">
        <v>2475</v>
      </c>
      <c r="Q82" s="10" t="n">
        <v>2365</v>
      </c>
      <c r="R82" s="10" t="n">
        <v>2732</v>
      </c>
      <c r="S82" s="10" t="n">
        <v>2541</v>
      </c>
      <c r="T82" s="10" t="n">
        <v>2673</v>
      </c>
      <c r="U82" s="10" t="n">
        <v>2673</v>
      </c>
      <c r="W82" s="10" t="n">
        <v>2336</v>
      </c>
      <c r="X82" s="10" t="n">
        <v>2710</v>
      </c>
      <c r="Y82" s="10" t="n">
        <v>2601</v>
      </c>
      <c r="Z82" s="10" t="n">
        <v>2731</v>
      </c>
      <c r="AA82" s="10" t="n">
        <v>2731</v>
      </c>
      <c r="AC82" s="10" t="n">
        <v>2333</v>
      </c>
      <c r="AD82" s="10" t="n">
        <v>2722</v>
      </c>
      <c r="AE82" s="10" t="n">
        <v>3079</v>
      </c>
    </row>
    <row r="83">
      <c r="A83" s="3" t="inlineStr">
        <is>
          <t>Current Operating Lease Liabilities</t>
        </is>
      </c>
      <c r="B83" s="10" t="n">
        <v>2208</v>
      </c>
      <c r="C83" s="10" t="n">
        <v>2208</v>
      </c>
      <c r="E83" s="10" t="n">
        <v>2263</v>
      </c>
      <c r="F83" s="10" t="n">
        <v>2371</v>
      </c>
      <c r="G83" s="10" t="n">
        <v>2395</v>
      </c>
      <c r="H83" s="10" t="n">
        <v>2443</v>
      </c>
      <c r="I83" s="10" t="n">
        <v>2443</v>
      </c>
      <c r="K83" s="10" t="n">
        <v>2470</v>
      </c>
      <c r="L83" s="10" t="n">
        <v>2498</v>
      </c>
      <c r="M83" s="10" t="n">
        <v>2446</v>
      </c>
      <c r="N83" s="10" t="n">
        <v>2390</v>
      </c>
      <c r="O83" s="10" t="n">
        <v>2390</v>
      </c>
      <c r="Q83" s="10" t="n">
        <v>2382</v>
      </c>
      <c r="R83" s="10" t="n">
        <v>2433</v>
      </c>
      <c r="S83" s="10" t="n">
        <v>2447</v>
      </c>
      <c r="T83" s="10" t="n">
        <v>2463</v>
      </c>
      <c r="U83" s="10" t="n">
        <v>2463</v>
      </c>
      <c r="W83" s="10" t="n">
        <v>2510</v>
      </c>
      <c r="X83" s="10" t="n">
        <v>2536</v>
      </c>
      <c r="Y83" s="10" t="n">
        <v>2524</v>
      </c>
      <c r="Z83" s="10" t="n">
        <v>2565</v>
      </c>
      <c r="AA83" s="10" t="n">
        <v>2565</v>
      </c>
      <c r="AC83" s="10" t="n">
        <v>2591</v>
      </c>
      <c r="AD83" s="10" t="n">
        <v>2621</v>
      </c>
      <c r="AE83" s="10" t="n">
        <v>2624</v>
      </c>
    </row>
    <row r="84">
      <c r="A84" s="3" t="inlineStr">
        <is>
          <t>Other Current Liabilities</t>
        </is>
      </c>
    </row>
    <row r="85">
      <c r="A85" s="11" t="inlineStr">
        <is>
          <t>Total Current Liabilities</t>
        </is>
      </c>
      <c r="B85" s="12" t="n">
        <v>13660</v>
      </c>
      <c r="C85" s="12" t="n">
        <v>13660</v>
      </c>
      <c r="E85" s="12" t="n">
        <v>12910</v>
      </c>
      <c r="F85" s="12" t="n">
        <v>13884</v>
      </c>
      <c r="G85" s="12" t="n">
        <v>13990</v>
      </c>
      <c r="H85" s="12" t="n">
        <v>14274</v>
      </c>
      <c r="I85" s="12" t="n">
        <v>14274</v>
      </c>
      <c r="K85" s="12" t="n">
        <v>13765</v>
      </c>
      <c r="L85" s="12" t="n">
        <v>14039</v>
      </c>
      <c r="M85" s="12" t="n">
        <v>13580</v>
      </c>
      <c r="N85" s="12" t="n">
        <v>13586</v>
      </c>
      <c r="O85" s="12" t="n">
        <v>13586</v>
      </c>
      <c r="Q85" s="12" t="n">
        <v>13811</v>
      </c>
      <c r="R85" s="12" t="n">
        <v>14248</v>
      </c>
      <c r="S85" s="12" t="n">
        <v>13308</v>
      </c>
      <c r="T85" s="12" t="n">
        <v>13355</v>
      </c>
      <c r="U85" s="12" t="n">
        <v>13355</v>
      </c>
      <c r="W85" s="12" t="n">
        <v>14111</v>
      </c>
      <c r="X85" s="12" t="n">
        <v>14392</v>
      </c>
      <c r="Y85" s="12" t="n">
        <v>13896</v>
      </c>
      <c r="Z85" s="12" t="n">
        <v>15411</v>
      </c>
      <c r="AA85" s="12" t="n">
        <v>15411</v>
      </c>
      <c r="AC85" s="12" t="n">
        <v>15524</v>
      </c>
      <c r="AD85" s="12" t="n">
        <v>16214</v>
      </c>
      <c r="AE85" s="12" t="n">
        <v>17287</v>
      </c>
    </row>
    <row r="86">
      <c r="A86" s="3" t="inlineStr">
        <is>
          <t>Long-Term Debt, Net</t>
        </is>
      </c>
    </row>
    <row r="87">
      <c r="A87" s="3" t="inlineStr">
        <is>
          <t>Noncurrent Operating Lease Liabilities</t>
        </is>
      </c>
      <c r="B87" s="10" t="n">
        <v>13375</v>
      </c>
      <c r="C87" s="10" t="n">
        <v>13375</v>
      </c>
      <c r="E87" s="10" t="n">
        <v>13382</v>
      </c>
      <c r="F87" s="10" t="n">
        <v>13955</v>
      </c>
      <c r="G87" s="10" t="n">
        <v>14450</v>
      </c>
      <c r="H87" s="10" t="n">
        <v>14487</v>
      </c>
      <c r="I87" s="10" t="n">
        <v>14487</v>
      </c>
      <c r="K87" s="10" t="n">
        <v>15118</v>
      </c>
      <c r="L87" s="10" t="n">
        <v>15290</v>
      </c>
      <c r="M87" s="10" t="n">
        <v>15373</v>
      </c>
      <c r="N87" s="10" t="n">
        <v>15363</v>
      </c>
      <c r="O87" s="10" t="n">
        <v>15363</v>
      </c>
      <c r="Q87" s="10" t="n">
        <v>15338</v>
      </c>
      <c r="R87" s="10" t="n">
        <v>15222</v>
      </c>
      <c r="S87" s="10" t="n">
        <v>14878</v>
      </c>
      <c r="T87" s="10" t="n">
        <v>15053</v>
      </c>
      <c r="U87" s="10" t="n">
        <v>15053</v>
      </c>
      <c r="W87" s="10" t="n">
        <v>14969</v>
      </c>
      <c r="X87" s="10" t="n">
        <v>14713</v>
      </c>
      <c r="Y87" s="10" t="n">
        <v>14366</v>
      </c>
      <c r="Z87" s="10" t="n">
        <v>14272</v>
      </c>
      <c r="AA87" s="10" t="n">
        <v>14272</v>
      </c>
      <c r="AC87" s="10" t="n">
        <v>14141</v>
      </c>
      <c r="AD87" s="10" t="n">
        <v>13950</v>
      </c>
      <c r="AE87" s="10" t="n">
        <v>14145</v>
      </c>
    </row>
    <row r="88">
      <c r="A88" s="3" t="inlineStr">
        <is>
          <t>Pension &amp; Postretirement Liabilities</t>
        </is>
      </c>
    </row>
    <row r="89">
      <c r="A89" s="3" t="inlineStr">
        <is>
          <t>Deferred Income Tax Liabilities</t>
        </is>
      </c>
      <c r="B89" s="10" t="n">
        <v>3927</v>
      </c>
      <c r="C89" s="10" t="n">
        <v>3927</v>
      </c>
      <c r="E89" s="10" t="n">
        <v>3969</v>
      </c>
      <c r="F89" s="10" t="n">
        <v>4162</v>
      </c>
      <c r="G89" s="10" t="n">
        <v>4331</v>
      </c>
      <c r="H89" s="10" t="n">
        <v>4093</v>
      </c>
      <c r="I89" s="10" t="n">
        <v>4093</v>
      </c>
      <c r="K89" s="10" t="n">
        <v>4134</v>
      </c>
      <c r="L89" s="10" t="n">
        <v>4188</v>
      </c>
      <c r="M89" s="10" t="n">
        <v>4313</v>
      </c>
      <c r="N89" s="10" t="n">
        <v>4489</v>
      </c>
      <c r="O89" s="10" t="n">
        <v>4489</v>
      </c>
      <c r="Q89" s="10" t="n">
        <v>4450</v>
      </c>
      <c r="R89" s="10" t="n">
        <v>4386</v>
      </c>
      <c r="S89" s="10" t="n">
        <v>4378</v>
      </c>
      <c r="T89" s="10" t="n">
        <v>4482</v>
      </c>
      <c r="U89" s="10" t="n">
        <v>4482</v>
      </c>
      <c r="W89" s="10" t="n">
        <v>4485</v>
      </c>
      <c r="X89" s="10" t="n">
        <v>4436</v>
      </c>
      <c r="Y89" s="10" t="n">
        <v>4308</v>
      </c>
      <c r="Z89" s="10" t="n">
        <v>4205</v>
      </c>
      <c r="AA89" s="10" t="n">
        <v>4205</v>
      </c>
      <c r="AC89" s="10" t="n">
        <v>4050</v>
      </c>
      <c r="AD89" s="10" t="n">
        <v>3895</v>
      </c>
      <c r="AE89" s="10" t="n">
        <v>3841</v>
      </c>
    </row>
    <row r="90">
      <c r="A90" s="3" t="inlineStr">
        <is>
          <t>Other Long-Term Liabilities</t>
        </is>
      </c>
      <c r="B90" s="10" t="n">
        <v>983</v>
      </c>
      <c r="C90" s="10" t="n">
        <v>983</v>
      </c>
      <c r="E90" s="10" t="n">
        <v>977</v>
      </c>
      <c r="F90" s="10" t="n">
        <v>973</v>
      </c>
      <c r="G90" s="10" t="n">
        <v>721</v>
      </c>
      <c r="H90" s="10" t="n">
        <v>682</v>
      </c>
      <c r="I90" s="10" t="n">
        <v>682</v>
      </c>
      <c r="K90" s="10" t="n">
        <v>654</v>
      </c>
      <c r="L90" s="10" t="n">
        <v>662</v>
      </c>
      <c r="M90" s="10" t="n">
        <v>674</v>
      </c>
      <c r="N90" s="10" t="n">
        <v>695</v>
      </c>
      <c r="O90" s="10" t="n">
        <v>695</v>
      </c>
      <c r="Q90" s="10" t="n">
        <v>694</v>
      </c>
      <c r="R90" s="10" t="n">
        <v>694</v>
      </c>
      <c r="S90" s="10" t="n">
        <v>690</v>
      </c>
      <c r="T90" s="10" t="n">
        <v>689</v>
      </c>
      <c r="U90" s="10" t="n">
        <v>689</v>
      </c>
      <c r="W90" s="10" t="n">
        <v>693</v>
      </c>
      <c r="X90" s="10" t="n">
        <v>651</v>
      </c>
      <c r="Y90" s="10" t="n">
        <v>657</v>
      </c>
      <c r="Z90" s="10" t="n">
        <v>783</v>
      </c>
      <c r="AA90" s="10" t="n">
        <v>783</v>
      </c>
      <c r="AC90" s="10" t="n">
        <v>817</v>
      </c>
      <c r="AD90" s="10" t="n">
        <v>790</v>
      </c>
      <c r="AE90" s="10" t="n">
        <v>823</v>
      </c>
    </row>
    <row r="91">
      <c r="A91" s="11" t="inlineStr">
        <is>
          <t>Total Liabilities</t>
        </is>
      </c>
      <c r="B91" s="12" t="n">
        <v>58609</v>
      </c>
      <c r="C91" s="12" t="n">
        <v>58609</v>
      </c>
      <c r="E91" s="12" t="n">
        <v>57727</v>
      </c>
      <c r="F91" s="12" t="n">
        <v>59307</v>
      </c>
      <c r="G91" s="12" t="n">
        <v>59582</v>
      </c>
      <c r="H91" s="12" t="n">
        <v>61055</v>
      </c>
      <c r="I91" s="12" t="n">
        <v>61055</v>
      </c>
      <c r="K91" s="12" t="n">
        <v>60686</v>
      </c>
      <c r="L91" s="12" t="n">
        <v>61476</v>
      </c>
      <c r="M91" s="12" t="n">
        <v>61042</v>
      </c>
      <c r="N91" s="12" t="n">
        <v>61055</v>
      </c>
      <c r="O91" s="12" t="n">
        <v>61055</v>
      </c>
      <c r="Q91" s="12" t="n">
        <v>61042</v>
      </c>
      <c r="R91" s="12" t="n">
        <v>61285</v>
      </c>
      <c r="S91" s="12" t="n">
        <v>59739</v>
      </c>
      <c r="T91" s="12" t="n">
        <v>59425</v>
      </c>
      <c r="U91" s="12" t="n">
        <v>59425</v>
      </c>
      <c r="W91" s="12" t="n">
        <v>59535</v>
      </c>
      <c r="X91" s="12" t="n">
        <v>59021</v>
      </c>
      <c r="Y91" s="12" t="n">
        <v>58335</v>
      </c>
      <c r="Z91" s="12" t="n">
        <v>59553</v>
      </c>
      <c r="AA91" s="12" t="n">
        <v>59553</v>
      </c>
      <c r="AC91" s="12" t="n">
        <v>60645</v>
      </c>
      <c r="AD91" s="12" t="n">
        <v>61041</v>
      </c>
      <c r="AE91" s="12" t="n">
        <v>64929</v>
      </c>
    </row>
    <row r="92">
      <c r="A92" s="3" t="inlineStr">
        <is>
          <t>Common Stock</t>
        </is>
      </c>
      <c r="B92" s="10" t="n">
        <v>32</v>
      </c>
      <c r="C92" s="10" t="n">
        <v>32</v>
      </c>
      <c r="E92" s="10" t="n">
        <v>32</v>
      </c>
      <c r="F92" s="10" t="n">
        <v>32</v>
      </c>
      <c r="G92" s="10" t="n">
        <v>32</v>
      </c>
      <c r="H92" s="10" t="n">
        <v>32</v>
      </c>
      <c r="I92" s="10" t="n">
        <v>32</v>
      </c>
      <c r="K92" s="10" t="n">
        <v>32</v>
      </c>
      <c r="L92" s="10" t="n">
        <v>32</v>
      </c>
      <c r="M92" s="10" t="n">
        <v>32</v>
      </c>
      <c r="N92" s="10" t="n">
        <v>32</v>
      </c>
      <c r="O92" s="10" t="n">
        <v>32</v>
      </c>
      <c r="Q92" s="10" t="n">
        <v>32</v>
      </c>
      <c r="R92" s="10" t="n">
        <v>32</v>
      </c>
      <c r="S92" s="10" t="n">
        <v>32</v>
      </c>
      <c r="T92" s="10" t="n">
        <v>32</v>
      </c>
      <c r="U92" s="10" t="n">
        <v>32</v>
      </c>
      <c r="W92" s="10" t="n">
        <v>32</v>
      </c>
      <c r="X92" s="10" t="n">
        <v>32</v>
      </c>
      <c r="Y92" s="10" t="n">
        <v>32</v>
      </c>
      <c r="Z92" s="10" t="n">
        <v>32</v>
      </c>
      <c r="AA92" s="10" t="n">
        <v>32</v>
      </c>
      <c r="AC92" s="10" t="n">
        <v>32</v>
      </c>
      <c r="AD92" s="10" t="n">
        <v>32</v>
      </c>
      <c r="AE92" s="10" t="n">
        <v>32</v>
      </c>
    </row>
    <row r="93">
      <c r="A93" s="3" t="inlineStr">
        <is>
          <t>Additional Paid-In Capital</t>
        </is>
      </c>
      <c r="B93" s="10" t="n">
        <v>3481</v>
      </c>
      <c r="C93" s="10" t="n">
        <v>3481</v>
      </c>
      <c r="E93" s="10" t="n">
        <v>3610</v>
      </c>
      <c r="F93" s="10" t="n">
        <v>3653</v>
      </c>
      <c r="G93" s="10" t="n">
        <v>3686</v>
      </c>
      <c r="H93" s="10" t="n">
        <v>3712</v>
      </c>
      <c r="I93" s="10" t="n">
        <v>3712</v>
      </c>
      <c r="K93" s="10" t="n">
        <v>3751</v>
      </c>
      <c r="L93" s="10" t="n">
        <v>3487</v>
      </c>
      <c r="M93" s="10" t="n">
        <v>3735</v>
      </c>
      <c r="N93" s="10" t="n">
        <v>3769</v>
      </c>
      <c r="O93" s="10" t="n">
        <v>3769</v>
      </c>
      <c r="Q93" s="10" t="n">
        <v>3800</v>
      </c>
      <c r="R93" s="10" t="n">
        <v>3849</v>
      </c>
      <c r="S93" s="10" t="n">
        <v>3898</v>
      </c>
      <c r="T93" s="10" t="n">
        <v>3988</v>
      </c>
      <c r="U93" s="10" t="n">
        <v>3988</v>
      </c>
      <c r="W93" s="10" t="n">
        <v>4134</v>
      </c>
      <c r="X93" s="10" t="n">
        <v>4165</v>
      </c>
      <c r="Y93" s="10" t="n">
        <v>4245</v>
      </c>
      <c r="Z93" s="10" t="n">
        <v>4290</v>
      </c>
      <c r="AA93" s="10" t="n">
        <v>4290</v>
      </c>
      <c r="AC93" s="10" t="n">
        <v>4327</v>
      </c>
      <c r="AD93" s="10" t="n">
        <v>4366</v>
      </c>
      <c r="AE93" s="10" t="n">
        <v>4614</v>
      </c>
    </row>
    <row r="94">
      <c r="A94" s="3" t="inlineStr">
        <is>
          <t>Retained Earnings</t>
        </is>
      </c>
      <c r="B94" s="10" t="n">
        <v>29817</v>
      </c>
      <c r="C94" s="10" t="n">
        <v>29817</v>
      </c>
      <c r="E94" s="10" t="n">
        <v>30462</v>
      </c>
      <c r="F94" s="10" t="n">
        <v>31307</v>
      </c>
      <c r="G94" s="10" t="n">
        <v>32225</v>
      </c>
      <c r="H94" s="10" t="n">
        <v>32782</v>
      </c>
      <c r="I94" s="10" t="n">
        <v>32782</v>
      </c>
      <c r="K94" s="10" t="n">
        <v>33060</v>
      </c>
      <c r="L94" s="10" t="n">
        <v>33557</v>
      </c>
      <c r="M94" s="10" t="n">
        <v>34040</v>
      </c>
      <c r="N94" s="10" t="n">
        <v>35259</v>
      </c>
      <c r="O94" s="10" t="n">
        <v>35259</v>
      </c>
      <c r="Q94" s="10" t="n">
        <v>36021</v>
      </c>
      <c r="R94" s="10" t="n">
        <v>36605</v>
      </c>
      <c r="S94" s="10" t="n">
        <v>37174</v>
      </c>
      <c r="T94" s="10" t="n">
        <v>38649</v>
      </c>
      <c r="U94" s="10" t="n">
        <v>38649</v>
      </c>
      <c r="W94" s="10" t="n">
        <v>38767</v>
      </c>
      <c r="X94" s="10" t="n">
        <v>39175</v>
      </c>
      <c r="Y94" s="10" t="n">
        <v>39754</v>
      </c>
      <c r="Z94" s="10" t="n">
        <v>41402</v>
      </c>
      <c r="AA94" s="10" t="n">
        <v>41402</v>
      </c>
      <c r="AC94" s="10" t="n">
        <v>41538</v>
      </c>
      <c r="AD94" s="10" t="n">
        <v>42154</v>
      </c>
      <c r="AE94" s="10" t="n">
        <v>42864</v>
      </c>
    </row>
    <row r="95">
      <c r="A95" s="3" t="inlineStr">
        <is>
          <t>Treasury Stock</t>
        </is>
      </c>
      <c r="B95" s="10" t="n">
        <v>8430</v>
      </c>
      <c r="C95" s="10" t="n">
        <v>8430</v>
      </c>
      <c r="E95" s="10" t="n">
        <v>8902</v>
      </c>
      <c r="F95" s="10" t="n">
        <v>9075</v>
      </c>
      <c r="G95" s="10" t="n">
        <v>10530</v>
      </c>
      <c r="H95" s="10" t="n">
        <v>10484</v>
      </c>
      <c r="I95" s="10" t="n">
        <v>10484</v>
      </c>
      <c r="K95" s="10" t="n">
        <v>10389</v>
      </c>
      <c r="L95" s="10" t="n">
        <v>11576</v>
      </c>
      <c r="M95" s="10" t="n">
        <v>11766</v>
      </c>
      <c r="N95" s="10" t="n">
        <v>11645</v>
      </c>
      <c r="O95" s="10" t="n">
        <v>11645</v>
      </c>
      <c r="Q95" s="10" t="n">
        <v>11963</v>
      </c>
      <c r="R95" s="10" t="n">
        <v>12426</v>
      </c>
      <c r="S95" s="10" t="n">
        <v>13394</v>
      </c>
      <c r="T95" s="10" t="n">
        <v>13728</v>
      </c>
      <c r="U95" s="10" t="n">
        <v>13728</v>
      </c>
      <c r="W95" s="10" t="n">
        <v>14425</v>
      </c>
      <c r="X95" s="10" t="n">
        <v>15397</v>
      </c>
      <c r="Y95" s="10" t="n">
        <v>15824</v>
      </c>
      <c r="Z95" s="10" t="n">
        <v>16288</v>
      </c>
      <c r="AA95" s="10" t="n">
        <v>16288</v>
      </c>
      <c r="AC95" s="10" t="n">
        <v>16755</v>
      </c>
      <c r="AD95" s="10" t="n">
        <v>16998</v>
      </c>
      <c r="AE95" s="10" t="n">
        <v>16486</v>
      </c>
    </row>
    <row r="96">
      <c r="A96" s="3" t="inlineStr">
        <is>
          <t>Accumulated Other Comprehensive Income (Loss)</t>
        </is>
      </c>
      <c r="B96" s="10" t="n">
        <v>-732</v>
      </c>
      <c r="C96" s="10" t="n">
        <v>-732</v>
      </c>
      <c r="E96" s="10" t="n">
        <v>-881</v>
      </c>
      <c r="F96" s="10" t="n">
        <v>-977</v>
      </c>
      <c r="G96" s="10" t="n">
        <v>-887</v>
      </c>
      <c r="H96" s="10" t="n">
        <v>-1103</v>
      </c>
      <c r="I96" s="10" t="n">
        <v>-1103</v>
      </c>
      <c r="K96" s="10" t="n">
        <v>-1314</v>
      </c>
      <c r="L96" s="10" t="n">
        <v>-1385</v>
      </c>
      <c r="M96" s="10" t="n">
        <v>-1308</v>
      </c>
      <c r="N96" s="10" t="n">
        <v>-1327</v>
      </c>
      <c r="O96" s="10" t="n">
        <v>-1327</v>
      </c>
      <c r="Q96" s="10" t="n">
        <v>-1356</v>
      </c>
      <c r="R96" s="10" t="n">
        <v>-1294</v>
      </c>
      <c r="S96" s="10" t="n">
        <v>-1335</v>
      </c>
      <c r="T96" s="10" t="n">
        <v>-1359</v>
      </c>
      <c r="U96" s="10" t="n">
        <v>-1359</v>
      </c>
      <c r="W96" s="10" t="n">
        <v>-1332</v>
      </c>
      <c r="X96" s="10" t="n">
        <v>-1515</v>
      </c>
      <c r="Y96" s="10" t="n">
        <v>-1499</v>
      </c>
      <c r="Z96" s="10" t="n">
        <v>-1362</v>
      </c>
      <c r="AA96" s="10" t="n">
        <v>-1362</v>
      </c>
      <c r="AC96" s="10" t="n">
        <v>-1371</v>
      </c>
      <c r="AD96" s="10" t="n">
        <v>-1414</v>
      </c>
      <c r="AE96" s="10" t="n">
        <v>-1220</v>
      </c>
    </row>
    <row r="97">
      <c r="A97" s="3" t="inlineStr">
        <is>
          <t>Noncontrolling Interest</t>
        </is>
      </c>
    </row>
    <row r="98">
      <c r="A98" s="11" t="inlineStr">
        <is>
          <t>Total Stockholders' Equity</t>
        </is>
      </c>
      <c r="B98" s="12" t="n">
        <v>24168</v>
      </c>
      <c r="C98" s="12" t="n">
        <v>24168</v>
      </c>
      <c r="E98" s="12" t="n">
        <v>24321</v>
      </c>
      <c r="F98" s="12" t="n">
        <v>24940</v>
      </c>
      <c r="G98" s="12" t="n">
        <v>24526</v>
      </c>
      <c r="H98" s="12" t="n">
        <v>24939</v>
      </c>
      <c r="I98" s="12" t="n">
        <v>24939</v>
      </c>
      <c r="K98" s="12" t="n">
        <v>25140</v>
      </c>
      <c r="L98" s="12" t="n">
        <v>24115</v>
      </c>
      <c r="M98" s="12" t="n">
        <v>24733</v>
      </c>
      <c r="N98" s="12" t="n">
        <v>26088</v>
      </c>
      <c r="O98" s="12" t="n">
        <v>26088</v>
      </c>
      <c r="Q98" s="12" t="n">
        <v>26534</v>
      </c>
      <c r="R98" s="12" t="n">
        <v>26766</v>
      </c>
      <c r="S98" s="12" t="n">
        <v>26375</v>
      </c>
      <c r="T98" s="12" t="n">
        <v>27582</v>
      </c>
      <c r="U98" s="12" t="n">
        <v>27582</v>
      </c>
      <c r="W98" s="12" t="n">
        <v>27176</v>
      </c>
      <c r="X98" s="12" t="n">
        <v>26460</v>
      </c>
      <c r="Y98" s="12" t="n">
        <v>26708</v>
      </c>
      <c r="Z98" s="12" t="n">
        <v>28074</v>
      </c>
      <c r="AA98" s="12" t="n">
        <v>28074</v>
      </c>
      <c r="AC98" s="12" t="n">
        <v>27771</v>
      </c>
      <c r="AD98" s="12" t="n">
        <v>28140</v>
      </c>
      <c r="AE98" s="12" t="n">
        <v>29804</v>
      </c>
    </row>
    <row r="99">
      <c r="A99" s="11" t="inlineStr">
        <is>
          <t>Total Liabilities &amp; Stockholders' Equity</t>
        </is>
      </c>
      <c r="B99" s="12" t="n">
        <v>82777</v>
      </c>
      <c r="C99" s="12" t="n">
        <v>82777</v>
      </c>
      <c r="E99" s="12" t="n">
        <v>82048</v>
      </c>
      <c r="F99" s="12" t="n">
        <v>84247</v>
      </c>
      <c r="G99" s="12" t="n">
        <v>84108</v>
      </c>
      <c r="H99" s="12" t="n">
        <v>85994</v>
      </c>
      <c r="I99" s="12" t="n">
        <v>85994</v>
      </c>
      <c r="K99" s="12" t="n">
        <v>85826</v>
      </c>
      <c r="L99" s="12" t="n">
        <v>85591</v>
      </c>
      <c r="M99" s="12" t="n">
        <v>85775</v>
      </c>
      <c r="N99" s="12" t="n">
        <v>87143</v>
      </c>
      <c r="O99" s="12" t="n">
        <v>87143</v>
      </c>
      <c r="Q99" s="12" t="n">
        <v>87576</v>
      </c>
      <c r="R99" s="12" t="n">
        <v>88051</v>
      </c>
      <c r="S99" s="12" t="n">
        <v>86114</v>
      </c>
      <c r="T99" s="12" t="n">
        <v>87007</v>
      </c>
      <c r="U99" s="12" t="n">
        <v>87007</v>
      </c>
      <c r="W99" s="12" t="n">
        <v>86711</v>
      </c>
      <c r="X99" s="12" t="n">
        <v>85481</v>
      </c>
      <c r="Y99" s="12" t="n">
        <v>85043</v>
      </c>
      <c r="Z99" s="12" t="n">
        <v>87627</v>
      </c>
      <c r="AA99" s="12" t="n">
        <v>87627</v>
      </c>
      <c r="AC99" s="12" t="n">
        <v>88416</v>
      </c>
      <c r="AD99" s="12" t="n">
        <v>89181</v>
      </c>
      <c r="AE99" s="12" t="n">
        <v>94733</v>
      </c>
    </row>
    <row r="102">
      <c r="A102" s="2" t="inlineStr">
        <is>
          <t>CASH FLOW STATEMENT</t>
        </is>
      </c>
    </row>
    <row r="103">
      <c r="A103" s="5" t="n"/>
      <c r="B103" s="6" t="n"/>
      <c r="C103" s="6" t="n">
        <v>2021</v>
      </c>
      <c r="D103" s="6" t="n"/>
      <c r="E103" s="6" t="n"/>
      <c r="F103" s="6" t="n"/>
      <c r="G103" s="6" t="n"/>
      <c r="H103" s="6" t="n"/>
      <c r="I103" s="6" t="n">
        <v>2022</v>
      </c>
      <c r="J103" s="6" t="n"/>
      <c r="K103" s="6" t="n"/>
      <c r="L103" s="6" t="n"/>
      <c r="M103" s="6" t="n"/>
      <c r="N103" s="6" t="n"/>
      <c r="O103" s="6" t="n">
        <v>2023</v>
      </c>
      <c r="P103" s="6" t="n"/>
      <c r="Q103" s="6" t="n"/>
      <c r="R103" s="6" t="n"/>
      <c r="S103" s="6" t="n"/>
      <c r="T103" s="6" t="n"/>
      <c r="U103" s="6" t="n">
        <v>2024</v>
      </c>
      <c r="V103" s="6" t="n"/>
      <c r="W103" s="6" t="n"/>
      <c r="X103" s="6" t="n"/>
      <c r="Y103" s="6" t="n"/>
      <c r="Z103" s="6" t="n"/>
      <c r="AA103" s="6" t="n">
        <v>2025</v>
      </c>
      <c r="AB103" s="6" t="n"/>
      <c r="AC103" s="6" t="n"/>
      <c r="AD103" s="6" t="n"/>
      <c r="AE103" s="6" t="n"/>
      <c r="AF103" s="6" t="n"/>
    </row>
    <row r="104">
      <c r="A104" s="5" t="n"/>
      <c r="B104" s="6" t="inlineStr">
        <is>
          <t>Q4</t>
        </is>
      </c>
      <c r="C104" s="6" t="inlineStr">
        <is>
          <t>2021</t>
        </is>
      </c>
      <c r="D104" s="6" t="n"/>
      <c r="E104" s="6" t="inlineStr">
        <is>
          <t>Q1</t>
        </is>
      </c>
      <c r="F104" s="6" t="inlineStr">
        <is>
          <t>Q2</t>
        </is>
      </c>
      <c r="G104" s="6" t="inlineStr">
        <is>
          <t>Q3</t>
        </is>
      </c>
      <c r="H104" s="6" t="inlineStr">
        <is>
          <t>Q4</t>
        </is>
      </c>
      <c r="I104" s="6" t="inlineStr">
        <is>
          <t>2022</t>
        </is>
      </c>
      <c r="J104" s="6" t="n"/>
      <c r="K104" s="6" t="inlineStr">
        <is>
          <t>Q1</t>
        </is>
      </c>
      <c r="L104" s="6" t="inlineStr">
        <is>
          <t>Q2</t>
        </is>
      </c>
      <c r="M104" s="6" t="inlineStr">
        <is>
          <t>Q3</t>
        </is>
      </c>
      <c r="N104" s="6" t="inlineStr">
        <is>
          <t>Q4</t>
        </is>
      </c>
      <c r="O104" s="6" t="inlineStr">
        <is>
          <t>2023</t>
        </is>
      </c>
      <c r="P104" s="6" t="n"/>
      <c r="Q104" s="6" t="inlineStr">
        <is>
          <t>Q1</t>
        </is>
      </c>
      <c r="R104" s="6" t="inlineStr">
        <is>
          <t>Q2</t>
        </is>
      </c>
      <c r="S104" s="6" t="inlineStr">
        <is>
          <t>Q3</t>
        </is>
      </c>
      <c r="T104" s="6" t="inlineStr">
        <is>
          <t>Q4</t>
        </is>
      </c>
      <c r="U104" s="6" t="inlineStr">
        <is>
          <t>2024</t>
        </is>
      </c>
      <c r="V104" s="6" t="n"/>
      <c r="W104" s="6" t="inlineStr">
        <is>
          <t>Q1</t>
        </is>
      </c>
      <c r="X104" s="6" t="inlineStr">
        <is>
          <t>Q2</t>
        </is>
      </c>
      <c r="Y104" s="6" t="inlineStr">
        <is>
          <t>Q3</t>
        </is>
      </c>
      <c r="Z104" s="6" t="inlineStr">
        <is>
          <t>Q4</t>
        </is>
      </c>
      <c r="AA104" s="6" t="inlineStr">
        <is>
          <t>2025</t>
        </is>
      </c>
      <c r="AB104" s="6" t="n"/>
      <c r="AC104" s="6" t="inlineStr">
        <is>
          <t>Q1</t>
        </is>
      </c>
      <c r="AD104" s="6" t="inlineStr">
        <is>
          <t>Q2</t>
        </is>
      </c>
      <c r="AE104" s="6" t="inlineStr">
        <is>
          <t>Q3</t>
        </is>
      </c>
      <c r="AF104" s="6" t="n"/>
    </row>
    <row r="105">
      <c r="A105" s="3" t="inlineStr">
        <is>
          <t>Net Income</t>
        </is>
      </c>
      <c r="B105" s="10" t="n">
        <v>1868</v>
      </c>
      <c r="C105" s="10" t="n">
        <v>5231</v>
      </c>
      <c r="E105" s="10" t="n">
        <v>1112</v>
      </c>
      <c r="F105" s="10" t="n">
        <v>1044</v>
      </c>
      <c r="G105" s="10" t="n">
        <v>1112</v>
      </c>
      <c r="H105" s="10" t="n">
        <v>558</v>
      </c>
      <c r="I105" s="10" t="n">
        <v>3826</v>
      </c>
      <c r="K105" s="10" t="n">
        <v>875</v>
      </c>
      <c r="L105" s="10" t="n">
        <v>788</v>
      </c>
      <c r="M105" s="10" t="n">
        <v>771</v>
      </c>
      <c r="N105" s="10" t="n">
        <v>1538</v>
      </c>
      <c r="O105" s="10" t="n">
        <v>3972</v>
      </c>
      <c r="Q105" s="10" t="n">
        <v>1078</v>
      </c>
      <c r="R105" s="10" t="n">
        <v>900</v>
      </c>
      <c r="S105" s="10" t="n">
        <v>879</v>
      </c>
      <c r="T105" s="10" t="n">
        <v>1474</v>
      </c>
      <c r="U105" s="10" t="n">
        <v>4331</v>
      </c>
      <c r="W105" s="10" t="n">
        <v>794</v>
      </c>
      <c r="X105" s="10" t="n">
        <v>741</v>
      </c>
      <c r="Y105" s="10" t="n">
        <v>909</v>
      </c>
      <c r="Z105" s="10" t="n">
        <v>1648</v>
      </c>
      <c r="AA105" s="10" t="n">
        <v>4092</v>
      </c>
      <c r="AC105" s="10" t="n">
        <v>824</v>
      </c>
      <c r="AD105" s="10" t="n">
        <v>956</v>
      </c>
      <c r="AE105" s="10" t="n">
        <v>1056</v>
      </c>
    </row>
    <row r="106">
      <c r="A106" s="3" t="inlineStr">
        <is>
          <t>Depreciation &amp; Amortization</t>
        </is>
      </c>
      <c r="B106" s="10" t="n">
        <v>975</v>
      </c>
      <c r="C106" s="10" t="n">
        <v>3793</v>
      </c>
      <c r="E106" s="10" t="n">
        <v>971</v>
      </c>
      <c r="F106" s="10" t="n">
        <v>995</v>
      </c>
      <c r="G106" s="10" t="n">
        <v>986</v>
      </c>
      <c r="H106" s="10" t="n">
        <v>1018</v>
      </c>
      <c r="I106" s="10" t="n">
        <v>3970</v>
      </c>
      <c r="K106" s="10" t="n">
        <v>1024</v>
      </c>
      <c r="L106" s="10" t="n">
        <v>1046</v>
      </c>
      <c r="M106" s="10" t="n">
        <v>1031</v>
      </c>
      <c r="N106" s="10" t="n">
        <v>1075</v>
      </c>
      <c r="O106" s="10" t="n">
        <v>4176</v>
      </c>
      <c r="Q106" s="10" t="n">
        <v>1071</v>
      </c>
      <c r="R106" s="10" t="n">
        <v>1040</v>
      </c>
      <c r="S106" s="10" t="n">
        <v>1072</v>
      </c>
      <c r="T106" s="10" t="n">
        <v>1104</v>
      </c>
      <c r="U106" s="10" t="n">
        <v>4287</v>
      </c>
      <c r="W106" s="10" t="n">
        <v>1078</v>
      </c>
      <c r="X106" s="10" t="n">
        <v>1063</v>
      </c>
      <c r="Y106" s="10" t="n">
        <v>1066</v>
      </c>
      <c r="Z106" s="10" t="n">
        <v>1057</v>
      </c>
      <c r="AA106" s="10" t="n">
        <v>4264</v>
      </c>
      <c r="AC106" s="10" t="n">
        <v>1092</v>
      </c>
      <c r="AD106" s="10" t="n">
        <v>1068</v>
      </c>
      <c r="AE106" s="10" t="n">
        <v>1112</v>
      </c>
    </row>
    <row r="107">
      <c r="A107" s="3" t="inlineStr">
        <is>
          <t>Stock-Based Compensation</t>
        </is>
      </c>
      <c r="B107" s="10" t="n">
        <v>39</v>
      </c>
      <c r="C107" s="10" t="n">
        <v>200</v>
      </c>
      <c r="E107" s="10" t="n">
        <v>69</v>
      </c>
      <c r="F107" s="10" t="n">
        <v>43</v>
      </c>
      <c r="G107" s="10" t="n">
        <v>39</v>
      </c>
      <c r="H107" s="10" t="n">
        <v>39</v>
      </c>
      <c r="I107" s="10" t="n">
        <v>190</v>
      </c>
      <c r="K107" s="10" t="n">
        <v>68</v>
      </c>
      <c r="L107" s="10" t="n">
        <v>40</v>
      </c>
      <c r="M107" s="10" t="n">
        <v>34</v>
      </c>
      <c r="N107" s="10" t="n">
        <v>40</v>
      </c>
      <c r="O107" s="10" t="n">
        <v>182</v>
      </c>
      <c r="Q107" s="10" t="n">
        <v>56</v>
      </c>
      <c r="R107" s="10" t="n">
        <v>40</v>
      </c>
      <c r="S107" s="10" t="n">
        <v>34</v>
      </c>
      <c r="T107" s="10" t="n">
        <v>33</v>
      </c>
      <c r="U107" s="10" t="n">
        <v>163</v>
      </c>
      <c r="W107" s="10" t="n">
        <v>48</v>
      </c>
      <c r="X107" s="10" t="n">
        <v>36</v>
      </c>
      <c r="Y107" s="10" t="n">
        <v>32</v>
      </c>
      <c r="Z107" s="10" t="n">
        <v>38</v>
      </c>
      <c r="AA107" s="10" t="n">
        <v>154</v>
      </c>
      <c r="AC107" s="10" t="n">
        <v>56</v>
      </c>
      <c r="AD107" s="10" t="n">
        <v>43</v>
      </c>
      <c r="AE107" s="10" t="n">
        <v>37</v>
      </c>
    </row>
    <row r="108">
      <c r="A108" s="3" t="inlineStr">
        <is>
          <t>Deferred Income Taxes</t>
        </is>
      </c>
      <c r="C108" s="10" t="n">
        <v>802</v>
      </c>
      <c r="I108" s="10" t="n">
        <v>322</v>
      </c>
      <c r="O108" s="10" t="n">
        <v>446</v>
      </c>
      <c r="U108" s="10" t="n">
        <v>-162</v>
      </c>
      <c r="AA108" s="10" t="n">
        <v>-47</v>
      </c>
    </row>
    <row r="109">
      <c r="A109" s="3" t="inlineStr">
        <is>
          <t>Asset Impairment Charges</t>
        </is>
      </c>
      <c r="O109" s="10" t="n">
        <v>117</v>
      </c>
      <c r="T109" s="10" t="n">
        <v>0</v>
      </c>
      <c r="U109" s="10" t="n">
        <v>157</v>
      </c>
      <c r="Z109" s="10" t="n">
        <v>0</v>
      </c>
      <c r="AA109" s="10" t="n">
        <v>21</v>
      </c>
    </row>
    <row r="110">
      <c r="A110" s="3" t="inlineStr">
        <is>
          <t>(Gain) Loss on Sale of Assets</t>
        </is>
      </c>
    </row>
    <row r="111">
      <c r="A111" s="3" t="inlineStr">
        <is>
          <t>Change in Receivables</t>
        </is>
      </c>
    </row>
    <row r="112">
      <c r="A112" s="3" t="inlineStr">
        <is>
          <t>Change in Inventory</t>
        </is>
      </c>
    </row>
    <row r="113">
      <c r="A113" s="3" t="inlineStr">
        <is>
          <t>Change in Accounts Payable</t>
        </is>
      </c>
    </row>
    <row r="114">
      <c r="A114" s="3" t="inlineStr">
        <is>
          <t>Change in Accrued/Other Liabilities</t>
        </is>
      </c>
      <c r="B114" s="10" t="n">
        <v>36</v>
      </c>
      <c r="C114" s="10" t="n">
        <v>197</v>
      </c>
      <c r="E114" s="10" t="n">
        <v>44</v>
      </c>
      <c r="F114" s="10" t="n">
        <v>10</v>
      </c>
      <c r="G114" s="10" t="n">
        <v>7</v>
      </c>
      <c r="H114" s="10" t="n">
        <v>32</v>
      </c>
      <c r="I114" s="10" t="n">
        <v>93</v>
      </c>
      <c r="K114" s="10" t="n">
        <v>-19</v>
      </c>
      <c r="L114" s="10" t="n">
        <v>-11</v>
      </c>
      <c r="M114" s="10" t="n">
        <v>16</v>
      </c>
      <c r="N114" s="10" t="n">
        <v>30</v>
      </c>
      <c r="O114" s="10" t="n">
        <v>16</v>
      </c>
      <c r="Q114" s="10" t="n">
        <v>6</v>
      </c>
      <c r="R114" s="10" t="n">
        <v>18</v>
      </c>
      <c r="S114" s="10" t="n">
        <v>6</v>
      </c>
      <c r="T114" s="10" t="n">
        <v>13</v>
      </c>
      <c r="U114" s="10" t="n">
        <v>43</v>
      </c>
      <c r="W114" s="10" t="n">
        <v>-23</v>
      </c>
      <c r="X114" s="10" t="n">
        <v>-35</v>
      </c>
      <c r="Y114" s="10" t="n">
        <v>14</v>
      </c>
      <c r="Z114" s="10" t="n">
        <v>56</v>
      </c>
      <c r="AA114" s="10" t="n">
        <v>12</v>
      </c>
      <c r="AC114" s="10" t="n">
        <v>43</v>
      </c>
      <c r="AD114" s="10" t="n">
        <v>-42</v>
      </c>
      <c r="AE114" s="10" t="n">
        <v>-1</v>
      </c>
    </row>
    <row r="115">
      <c r="A115" s="3" t="inlineStr">
        <is>
          <t>Other Operating Activities</t>
        </is>
      </c>
    </row>
    <row r="116">
      <c r="A116" s="11" t="inlineStr">
        <is>
          <t>Net Cash from Operating Activities</t>
        </is>
      </c>
      <c r="B116" s="12" t="n">
        <v>2743</v>
      </c>
      <c r="C116" s="12" t="n">
        <v>10135</v>
      </c>
      <c r="E116" s="12" t="n">
        <v>2084</v>
      </c>
      <c r="F116" s="12" t="n">
        <v>1998</v>
      </c>
      <c r="G116" s="12" t="n">
        <v>2248</v>
      </c>
      <c r="H116" s="12" t="n">
        <v>3502</v>
      </c>
      <c r="I116" s="12" t="n">
        <v>9832</v>
      </c>
      <c r="K116" s="12" t="n">
        <v>1607</v>
      </c>
      <c r="L116" s="12" t="n">
        <v>1518</v>
      </c>
      <c r="M116" s="12" t="n">
        <v>2276</v>
      </c>
      <c r="N116" s="12" t="n">
        <v>3447</v>
      </c>
      <c r="O116" s="12" t="n">
        <v>8848</v>
      </c>
      <c r="Q116" s="12" t="n">
        <v>2230</v>
      </c>
      <c r="R116" s="12" t="n">
        <v>1774</v>
      </c>
      <c r="S116" s="12" t="n">
        <v>1610</v>
      </c>
      <c r="T116" s="12" t="n">
        <v>2698</v>
      </c>
      <c r="U116" s="12" t="n">
        <v>8312</v>
      </c>
      <c r="W116" s="12" t="n">
        <v>1187</v>
      </c>
      <c r="X116" s="12" t="n">
        <v>1318</v>
      </c>
      <c r="Y116" s="12" t="n">
        <v>2012</v>
      </c>
      <c r="Z116" s="12" t="n">
        <v>2519</v>
      </c>
      <c r="AA116" s="12" t="n">
        <v>7036</v>
      </c>
      <c r="AC116" s="12" t="n">
        <v>1716</v>
      </c>
      <c r="AD116" s="12" t="n">
        <v>1951</v>
      </c>
      <c r="AE116" s="12" t="n">
        <v>1993</v>
      </c>
    </row>
    <row r="117">
      <c r="A117" s="3" t="inlineStr">
        <is>
          <t>Capital Expenditures</t>
        </is>
      </c>
      <c r="B117" s="10" t="n">
        <v>1682</v>
      </c>
      <c r="C117" s="10" t="n">
        <v>5884</v>
      </c>
      <c r="E117" s="10" t="n">
        <v>1570</v>
      </c>
      <c r="F117" s="10" t="n">
        <v>1573</v>
      </c>
      <c r="G117" s="10" t="n">
        <v>1236</v>
      </c>
      <c r="H117" s="10" t="n">
        <v>2384</v>
      </c>
      <c r="I117" s="10" t="n">
        <v>6763</v>
      </c>
      <c r="K117" s="10" t="n">
        <v>1284</v>
      </c>
      <c r="L117" s="10" t="n">
        <v>1858</v>
      </c>
      <c r="M117" s="10" t="n">
        <v>1278</v>
      </c>
      <c r="N117" s="10" t="n">
        <v>1754</v>
      </c>
      <c r="O117" s="10" t="n">
        <v>6174</v>
      </c>
      <c r="Q117" s="10" t="n">
        <v>1290</v>
      </c>
      <c r="R117" s="10" t="n">
        <v>1305</v>
      </c>
      <c r="S117" s="10" t="n">
        <v>1379</v>
      </c>
      <c r="T117" s="10" t="n">
        <v>1202</v>
      </c>
      <c r="U117" s="10" t="n">
        <v>5176</v>
      </c>
      <c r="W117" s="10" t="n">
        <v>767</v>
      </c>
      <c r="X117" s="10" t="n">
        <v>818</v>
      </c>
      <c r="Y117" s="10" t="n">
        <v>997</v>
      </c>
      <c r="Z117" s="10" t="n">
        <v>1473</v>
      </c>
      <c r="AA117" s="10" t="n">
        <v>4055</v>
      </c>
      <c r="AC117" s="10" t="n">
        <v>623</v>
      </c>
      <c r="AD117" s="10" t="n">
        <v>757</v>
      </c>
      <c r="AE117" s="10" t="n">
        <v>955</v>
      </c>
    </row>
    <row r="118">
      <c r="A118" s="3" t="inlineStr">
        <is>
          <t>Proceeds from Asset Sales</t>
        </is>
      </c>
      <c r="I118" s="10" t="n">
        <v>94</v>
      </c>
      <c r="N118" s="10" t="n">
        <v>12</v>
      </c>
      <c r="O118" s="10" t="n">
        <v>84</v>
      </c>
      <c r="Q118" s="10" t="n">
        <v>12</v>
      </c>
      <c r="R118" s="10" t="n">
        <v>50</v>
      </c>
      <c r="S118" s="10" t="n">
        <v>32</v>
      </c>
      <c r="T118" s="10" t="n">
        <v>20</v>
      </c>
      <c r="U118" s="10" t="n">
        <v>114</v>
      </c>
      <c r="W118" s="10" t="n">
        <v>13</v>
      </c>
      <c r="X118" s="10" t="n">
        <v>21</v>
      </c>
      <c r="Y118" s="10" t="n">
        <v>8</v>
      </c>
      <c r="Z118" s="10" t="n">
        <v>73</v>
      </c>
      <c r="AA118" s="10" t="n">
        <v>115</v>
      </c>
      <c r="AC118" s="10" t="n">
        <v>8</v>
      </c>
      <c r="AD118" s="10" t="n">
        <v>41</v>
      </c>
      <c r="AE118" s="10" t="n">
        <v>24</v>
      </c>
    </row>
    <row r="119">
      <c r="A119" s="3" t="inlineStr">
        <is>
          <t>Acquisitions, Net of Cash Acquired</t>
        </is>
      </c>
      <c r="B119" s="10" t="n">
        <v>3</v>
      </c>
      <c r="C119" s="10" t="n">
        <v>228</v>
      </c>
    </row>
    <row r="120">
      <c r="A120" s="3" t="inlineStr">
        <is>
          <t>Purchases of Investments</t>
        </is>
      </c>
      <c r="H120" s="10" t="n">
        <v>2</v>
      </c>
      <c r="I120" s="10" t="n">
        <v>147</v>
      </c>
      <c r="K120" s="10" t="n">
        <v>35</v>
      </c>
      <c r="L120" s="10" t="n">
        <v>43</v>
      </c>
      <c r="M120" s="10" t="n">
        <v>4</v>
      </c>
      <c r="N120" s="10" t="n">
        <v>2</v>
      </c>
      <c r="O120" s="10" t="n">
        <v>84</v>
      </c>
      <c r="Q120" s="10" t="n">
        <v>2</v>
      </c>
      <c r="R120" s="10" t="n">
        <v>73</v>
      </c>
      <c r="S120" s="10" t="n">
        <v>35</v>
      </c>
      <c r="T120" s="10" t="n">
        <v>66</v>
      </c>
      <c r="U120" s="10" t="n">
        <v>176</v>
      </c>
      <c r="W120" s="10" t="n">
        <v>61</v>
      </c>
      <c r="X120" s="10" t="n">
        <v>46</v>
      </c>
      <c r="Y120" s="10" t="n">
        <v>90</v>
      </c>
      <c r="Z120" s="10" t="n">
        <v>65</v>
      </c>
      <c r="AA120" s="10" t="n">
        <v>262</v>
      </c>
      <c r="AC120" s="10" t="n">
        <v>34</v>
      </c>
      <c r="AD120" s="10" t="n">
        <v>292</v>
      </c>
      <c r="AE120" s="10" t="n">
        <v>101</v>
      </c>
    </row>
    <row r="121">
      <c r="A121" s="3" t="inlineStr">
        <is>
          <t>Sales/Maturities of Investments</t>
        </is>
      </c>
      <c r="Q121" s="10" t="n">
        <v>0</v>
      </c>
      <c r="R121" s="10" t="n">
        <v>0</v>
      </c>
      <c r="S121" s="10" t="n">
        <v>24</v>
      </c>
      <c r="T121" s="10" t="n">
        <v>14</v>
      </c>
      <c r="U121" s="10" t="n">
        <v>38</v>
      </c>
      <c r="W121" s="10" t="n">
        <v>13</v>
      </c>
      <c r="X121" s="10" t="n">
        <v>39</v>
      </c>
      <c r="Y121" s="10" t="n">
        <v>25</v>
      </c>
      <c r="AC121" s="10" t="n">
        <v>30</v>
      </c>
      <c r="AD121" s="10" t="n">
        <v>147</v>
      </c>
      <c r="AE121" s="10" t="n">
        <v>77</v>
      </c>
    </row>
    <row r="122">
      <c r="A122" s="3" t="inlineStr">
        <is>
          <t>Other Investing Activities</t>
        </is>
      </c>
    </row>
    <row r="123">
      <c r="A123" s="11" t="inlineStr">
        <is>
          <t>Net Cash from Investing Activities</t>
        </is>
      </c>
      <c r="B123" s="12" t="n">
        <v>-1671</v>
      </c>
      <c r="C123" s="12" t="n">
        <v>-6010</v>
      </c>
      <c r="E123" s="12" t="n">
        <v>-1550</v>
      </c>
      <c r="F123" s="12" t="n">
        <v>-1562</v>
      </c>
      <c r="G123" s="12" t="n">
        <v>-1341</v>
      </c>
      <c r="H123" s="12" t="n">
        <v>-2363</v>
      </c>
      <c r="I123" s="12" t="n">
        <v>-6816</v>
      </c>
      <c r="K123" s="12" t="n">
        <v>-1309</v>
      </c>
      <c r="L123" s="12" t="n">
        <v>-1891</v>
      </c>
      <c r="M123" s="12" t="n">
        <v>-1230</v>
      </c>
      <c r="N123" s="12" t="n">
        <v>-1744</v>
      </c>
      <c r="O123" s="12" t="n">
        <v>-6174</v>
      </c>
      <c r="Q123" s="12" t="n">
        <v>-1280</v>
      </c>
      <c r="R123" s="12" t="n">
        <v>-1328</v>
      </c>
      <c r="S123" s="12" t="n">
        <v>-1358</v>
      </c>
      <c r="T123" s="12" t="n">
        <v>-1234</v>
      </c>
      <c r="U123" s="12" t="n">
        <v>-5200</v>
      </c>
      <c r="W123" s="12" t="n">
        <v>-802</v>
      </c>
      <c r="X123" s="12" t="n">
        <v>-804</v>
      </c>
      <c r="Y123" s="12" t="n">
        <v>-1054</v>
      </c>
      <c r="Z123" s="12" t="n">
        <v>-1432</v>
      </c>
      <c r="AA123" s="12" t="n">
        <v>-4092</v>
      </c>
      <c r="AC123" s="12" t="n">
        <v>-619</v>
      </c>
      <c r="AD123" s="12" t="n">
        <v>-861</v>
      </c>
      <c r="AE123" s="12" t="n">
        <v>-955</v>
      </c>
    </row>
    <row r="124">
      <c r="A124" s="3" t="inlineStr">
        <is>
          <t>Proceeds from Debt Issuance</t>
        </is>
      </c>
      <c r="B124" s="10" t="n">
        <v>3242</v>
      </c>
      <c r="C124" s="10" t="n">
        <v>4212</v>
      </c>
    </row>
    <row r="125">
      <c r="A125" s="3" t="inlineStr">
        <is>
          <t>Repayments of Debt</t>
        </is>
      </c>
      <c r="B125" s="10" t="n">
        <v>6213</v>
      </c>
      <c r="C125" s="10" t="n">
        <v>6318</v>
      </c>
      <c r="E125" s="10" t="n">
        <v>64</v>
      </c>
      <c r="F125" s="10" t="n">
        <v>8</v>
      </c>
      <c r="G125" s="10" t="n">
        <v>41</v>
      </c>
      <c r="H125" s="10" t="n">
        <v>48</v>
      </c>
      <c r="I125" s="10" t="n">
        <v>161</v>
      </c>
      <c r="K125" s="10" t="n">
        <v>29</v>
      </c>
      <c r="L125" s="10" t="n">
        <v>3</v>
      </c>
      <c r="M125" s="10" t="n">
        <v>91</v>
      </c>
      <c r="N125" s="10" t="n">
        <v>29</v>
      </c>
      <c r="O125" s="10" t="n">
        <v>152</v>
      </c>
      <c r="Q125" s="10" t="n">
        <v>66</v>
      </c>
      <c r="R125" s="10" t="n">
        <v>28</v>
      </c>
      <c r="S125" s="10" t="n">
        <v>49</v>
      </c>
      <c r="T125" s="10" t="n">
        <v>4</v>
      </c>
      <c r="U125" s="10" t="n">
        <v>147</v>
      </c>
      <c r="W125" s="10" t="n">
        <v>34</v>
      </c>
      <c r="X125" s="10" t="n">
        <v>13</v>
      </c>
      <c r="Y125" s="10" t="n">
        <v>42</v>
      </c>
      <c r="Z125" s="10" t="n">
        <v>68</v>
      </c>
      <c r="AA125" s="10" t="n">
        <v>157</v>
      </c>
      <c r="AC125" s="10" t="n">
        <v>625</v>
      </c>
      <c r="AD125" s="10" t="n">
        <v>22</v>
      </c>
      <c r="AE125" s="10" t="n">
        <v>67</v>
      </c>
    </row>
    <row r="126">
      <c r="A126" s="3" t="inlineStr">
        <is>
          <t>Dividends Paid</t>
        </is>
      </c>
      <c r="B126" s="10" t="n">
        <v>173</v>
      </c>
      <c r="C126" s="10" t="n">
        <v>686</v>
      </c>
      <c r="E126" s="10" t="n">
        <v>200</v>
      </c>
      <c r="F126" s="10" t="n">
        <v>200</v>
      </c>
      <c r="G126" s="10" t="n">
        <v>198</v>
      </c>
      <c r="H126" s="10" t="n">
        <v>195</v>
      </c>
      <c r="I126" s="10" t="n">
        <v>793</v>
      </c>
      <c r="K126" s="10" t="n">
        <v>299</v>
      </c>
      <c r="L126" s="10" t="n">
        <v>299</v>
      </c>
      <c r="M126" s="10" t="n">
        <v>290</v>
      </c>
      <c r="N126" s="10" t="n">
        <v>289</v>
      </c>
      <c r="O126" s="10" t="n">
        <v>1177</v>
      </c>
      <c r="Q126" s="10" t="n">
        <v>318</v>
      </c>
      <c r="R126" s="10" t="n">
        <v>317</v>
      </c>
      <c r="S126" s="10" t="n">
        <v>314</v>
      </c>
      <c r="T126" s="10" t="n">
        <v>310</v>
      </c>
      <c r="U126" s="10" t="n">
        <v>1259</v>
      </c>
      <c r="W126" s="10" t="n">
        <v>339</v>
      </c>
      <c r="X126" s="10" t="n">
        <v>337</v>
      </c>
      <c r="Y126" s="10" t="n">
        <v>332</v>
      </c>
      <c r="Z126" s="10" t="n">
        <v>331</v>
      </c>
      <c r="AA126" s="10" t="n">
        <v>1339</v>
      </c>
      <c r="AC126" s="10" t="n">
        <v>345</v>
      </c>
      <c r="AD126" s="10" t="n">
        <v>342</v>
      </c>
      <c r="AE126" s="10" t="n">
        <v>341</v>
      </c>
    </row>
    <row r="127">
      <c r="A127" s="3" t="inlineStr">
        <is>
          <t>Share Repurchases</t>
        </is>
      </c>
      <c r="E127" s="10" t="n">
        <v>549</v>
      </c>
      <c r="F127" s="10" t="n">
        <v>199</v>
      </c>
      <c r="G127" s="10" t="n">
        <v>1500</v>
      </c>
      <c r="H127" s="10" t="n">
        <v>0</v>
      </c>
      <c r="I127" s="10" t="n">
        <v>2248</v>
      </c>
      <c r="K127" s="10" t="n">
        <v>0</v>
      </c>
      <c r="L127" s="10" t="n">
        <v>1500</v>
      </c>
      <c r="M127" s="10" t="n">
        <v>0</v>
      </c>
      <c r="N127" s="10" t="n">
        <v>0</v>
      </c>
      <c r="O127" s="10" t="n">
        <v>1500</v>
      </c>
      <c r="Q127" s="10" t="n">
        <v>500</v>
      </c>
      <c r="R127" s="10" t="n">
        <v>500</v>
      </c>
      <c r="S127" s="10" t="n">
        <v>1000</v>
      </c>
      <c r="T127" s="10" t="n">
        <v>500</v>
      </c>
      <c r="U127" s="10" t="n">
        <v>2500</v>
      </c>
      <c r="W127" s="10" t="n">
        <v>1000</v>
      </c>
      <c r="X127" s="10" t="n">
        <v>1020</v>
      </c>
      <c r="Y127" s="10" t="n">
        <v>497</v>
      </c>
      <c r="Z127" s="10" t="n">
        <v>500</v>
      </c>
      <c r="AA127" s="10" t="n">
        <v>3017</v>
      </c>
      <c r="AC127" s="10" t="n">
        <v>500</v>
      </c>
      <c r="AD127" s="10" t="n">
        <v>296</v>
      </c>
      <c r="AE127" s="10" t="n">
        <v>0</v>
      </c>
    </row>
    <row r="128">
      <c r="A128" s="3" t="inlineStr">
        <is>
          <t>Proceeds from Stock Issuance</t>
        </is>
      </c>
    </row>
    <row r="129">
      <c r="A129" s="3" t="inlineStr">
        <is>
          <t>Other Financing Activities</t>
        </is>
      </c>
      <c r="B129" s="10" t="n">
        <v>-25</v>
      </c>
      <c r="C129" s="10" t="n">
        <v>-38</v>
      </c>
      <c r="E129" s="10" t="n">
        <v>-1</v>
      </c>
      <c r="I129" s="10" t="n">
        <v>-1</v>
      </c>
      <c r="M129" s="10" t="n">
        <v>0</v>
      </c>
      <c r="N129" s="10" t="n">
        <v>0</v>
      </c>
      <c r="O129" s="10" t="n">
        <v>1</v>
      </c>
      <c r="S129" s="10" t="n">
        <v>-7</v>
      </c>
      <c r="T129" s="10" t="n">
        <v>-4</v>
      </c>
      <c r="U129" s="10" t="n">
        <v>-11</v>
      </c>
      <c r="W129" s="10" t="n">
        <v>0</v>
      </c>
      <c r="X129" s="10" t="n">
        <v>-6</v>
      </c>
      <c r="Y129" s="10" t="n">
        <v>-24</v>
      </c>
      <c r="Z129" s="10" t="n">
        <v>0</v>
      </c>
      <c r="AA129" s="10" t="n">
        <v>-30</v>
      </c>
      <c r="AC129" s="10" t="n">
        <v>-5</v>
      </c>
      <c r="AD129" s="10" t="n">
        <v>-4</v>
      </c>
      <c r="AE129" s="10" t="n">
        <v>-40</v>
      </c>
    </row>
    <row r="130">
      <c r="A130" s="11" t="inlineStr">
        <is>
          <t>Net Cash from Financing Activities</t>
        </is>
      </c>
      <c r="B130" s="12" t="n">
        <v>-2911</v>
      </c>
      <c r="C130" s="12" t="n">
        <v>-2090</v>
      </c>
      <c r="E130" s="12" t="n">
        <v>-730</v>
      </c>
      <c r="F130" s="12" t="n">
        <v>-379</v>
      </c>
      <c r="G130" s="12" t="n">
        <v>-1699</v>
      </c>
      <c r="H130" s="12" t="n">
        <v>-211</v>
      </c>
      <c r="I130" s="12" t="n">
        <v>-3019</v>
      </c>
      <c r="K130" s="12" t="n">
        <v>-247</v>
      </c>
      <c r="L130" s="12" t="n">
        <v>-1793</v>
      </c>
      <c r="M130" s="12" t="n">
        <v>-356</v>
      </c>
      <c r="N130" s="12" t="n">
        <v>-201</v>
      </c>
      <c r="O130" s="12" t="n">
        <v>-2597</v>
      </c>
      <c r="Q130" s="12" t="n">
        <v>-727</v>
      </c>
      <c r="R130" s="12" t="n">
        <v>-791</v>
      </c>
      <c r="S130" s="12" t="n">
        <v>-1316</v>
      </c>
      <c r="T130" s="12" t="n">
        <v>-592</v>
      </c>
      <c r="U130" s="12" t="n">
        <v>-3426</v>
      </c>
      <c r="W130" s="12" t="n">
        <v>-969</v>
      </c>
      <c r="X130" s="12" t="n">
        <v>-1340</v>
      </c>
      <c r="Y130" s="12" t="n">
        <v>-863</v>
      </c>
      <c r="Z130" s="12" t="n">
        <v>-847</v>
      </c>
      <c r="AA130" s="12" t="n">
        <v>-4019</v>
      </c>
      <c r="AC130" s="12" t="n">
        <v>-460</v>
      </c>
      <c r="AD130" s="12" t="n">
        <v>-632</v>
      </c>
      <c r="AE130" s="12" t="n">
        <v>3968</v>
      </c>
    </row>
    <row r="131">
      <c r="A131" s="3" t="inlineStr">
        <is>
          <t>Effect of Exchange Rate on Cash</t>
        </is>
      </c>
    </row>
    <row r="132">
      <c r="A132" s="11" t="inlineStr">
        <is>
          <t>Net Change in Cash</t>
        </is>
      </c>
      <c r="B132" s="12" t="n">
        <v>-1769</v>
      </c>
      <c r="C132" s="12" t="n">
        <v>2206</v>
      </c>
      <c r="E132" s="12" t="n">
        <v>-234</v>
      </c>
      <c r="F132" s="12" t="n">
        <v>-20</v>
      </c>
      <c r="G132" s="12" t="n">
        <v>-768</v>
      </c>
      <c r="H132" s="12" t="n">
        <v>832</v>
      </c>
      <c r="I132" s="12" t="n">
        <v>-190</v>
      </c>
      <c r="K132" s="12" t="n">
        <v>-47</v>
      </c>
      <c r="L132" s="12" t="n">
        <v>-2204</v>
      </c>
      <c r="M132" s="12" t="n">
        <v>727</v>
      </c>
      <c r="N132" s="12" t="n">
        <v>1483</v>
      </c>
      <c r="O132" s="12" t="n">
        <v>-41</v>
      </c>
      <c r="Q132" s="12" t="n">
        <v>199</v>
      </c>
      <c r="R132" s="12" t="n">
        <v>-326</v>
      </c>
      <c r="S132" s="12" t="n">
        <v>-1085</v>
      </c>
      <c r="T132" s="12" t="n">
        <v>857</v>
      </c>
      <c r="U132" s="12" t="n">
        <v>-355</v>
      </c>
      <c r="W132" s="12" t="n">
        <v>-558</v>
      </c>
      <c r="X132" s="12" t="n">
        <v>-914</v>
      </c>
      <c r="Y132" s="12" t="n">
        <v>106</v>
      </c>
      <c r="Z132" s="12" t="n">
        <v>367</v>
      </c>
      <c r="AA132" s="12" t="n">
        <v>-999</v>
      </c>
      <c r="AC132" s="12" t="n">
        <v>664</v>
      </c>
      <c r="AD132" s="12" t="n">
        <v>404</v>
      </c>
      <c r="AE132" s="12" t="n">
        <v>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2026-06-22T00:56:16Z</dcterms:created>
  <dcterms:modified xsi:type="dcterms:W3CDTF">2026-06-22T00:56:16Z</dcterms:modified>
</cp:coreProperties>
</file>